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0713" codeName="{801CCD77-7B78-1753-DF39-40050F3742D7}"/>
  <workbookPr codeName="ThisWorkbook"/>
  <mc:AlternateContent xmlns:mc="http://schemas.openxmlformats.org/markup-compatibility/2006">
    <mc:Choice Requires="x15">
      <x15ac:absPath xmlns:x15ac="http://schemas.microsoft.com/office/spreadsheetml/2010/11/ac" url="/Users/nivethida/Documents/Summer Session/Data Optimization/Queing model/"/>
    </mc:Choice>
  </mc:AlternateContent>
  <xr:revisionPtr revIDLastSave="0" documentId="13_ncr:1_{10A07ACE-E2BC-7244-8F4C-C02637E1CD94}" xr6:coauthVersionLast="45" xr6:coauthVersionMax="45" xr10:uidLastSave="{00000000-0000-0000-0000-000000000000}"/>
  <bookViews>
    <workbookView xWindow="0" yWindow="1280" windowWidth="14920" windowHeight="15100" activeTab="1" xr2:uid="{00000000-000D-0000-FFFF-FFFF00000000}"/>
  </bookViews>
  <sheets>
    <sheet name="Question Background" sheetId="3" r:id="rId1"/>
    <sheet name="Model" sheetId="1" r:id="rId2"/>
    <sheet name="Module" sheetId="2" state="veryHidden" r:id=""/>
  </sheets>
  <definedNames>
    <definedName name="_AtRisk_SimSetting_AutomaticallyGenerateReports" hidden="1">FALSE</definedName>
    <definedName name="_AtRisk_SimSetting_AutomaticResultsDisplayMode" hidden="1">2</definedName>
    <definedName name="_AtRisk_SimSetting_ConvergenceConfidenceLevel" hidden="1">0.95</definedName>
    <definedName name="_AtRisk_SimSetting_ConvergencePercentileToTest" hidden="1">0.9</definedName>
    <definedName name="_AtRisk_SimSetting_ConvergencePerformMeanTest" hidden="1">TRUE</definedName>
    <definedName name="_AtRisk_SimSetting_ConvergencePerformPercentileTest" hidden="1">FALSE</definedName>
    <definedName name="_AtRisk_SimSetting_ConvergencePerformStdDeviationTest" hidden="1">FALSE</definedName>
    <definedName name="_AtRisk_SimSetting_ConvergenceTestAllOutputs" hidden="1">TRUE</definedName>
    <definedName name="_AtRisk_SimSetting_ConvergenceTestingPeriod" hidden="1">100</definedName>
    <definedName name="_AtRisk_SimSetting_ConvergenceTolerance" hidden="1">0.03</definedName>
    <definedName name="_AtRisk_SimSetting_LiveUpdate" hidden="1">TRUE</definedName>
    <definedName name="_AtRisk_SimSetting_LiveUpdatePeriod" hidden="1">-1</definedName>
    <definedName name="_AtRisk_SimSetting_RandomNumberGenerator" hidden="1">7</definedName>
    <definedName name="_AtRisk_SimSetting_ReportsList" hidden="1">0</definedName>
    <definedName name="_AtRisk_SimSetting_SimNameCount" hidden="1">0</definedName>
    <definedName name="_AtRisk_SimSetting_SmartSensitivityAnalysisEnabled" hidden="1">TRUE</definedName>
    <definedName name="_AtRisk_SimSetting_StatisticFunctionUpdating" hidden="1">1</definedName>
    <definedName name="_AtRisk_SimSetting_StdRecalcBehavior" hidden="1">1</definedName>
    <definedName name="_AtRisk_SimSetting_StdRecalcWithoutRiskStatic" hidden="1">0</definedName>
    <definedName name="_AtRisk_SimSetting_StdRecalcWithoutRiskStaticPercentile" hidden="1">0.5</definedName>
    <definedName name="EnterRate">Model!$B$17</definedName>
    <definedName name="L">Model!$B$13</definedName>
    <definedName name="Lam">Model!$B$5</definedName>
    <definedName name="Lq">Model!$B$14</definedName>
    <definedName name="MaxCusts">Model!$B$8</definedName>
    <definedName name="Mu">Model!$B$6</definedName>
    <definedName name="NoWaitStates">Model!$F$13</definedName>
    <definedName name="NumServ">Model!$B$7</definedName>
    <definedName name="NumSys">Model!$E$13:$E$17</definedName>
    <definedName name="PEnter">Model!$B$17</definedName>
    <definedName name="PFull">Model!$F$17</definedName>
    <definedName name="PNoWait">Model!$B$18</definedName>
    <definedName name="Probs">Model!$F$13:$F$17</definedName>
    <definedName name="RiskAfterRecalcMacro" hidden="1">""</definedName>
    <definedName name="RiskAfterSimMacro" hidden="1">""</definedName>
    <definedName name="RiskBeforeRecalcMacro" hidden="1">""</definedName>
    <definedName name="RiskBeforeSimMacro" hidden="1">""</definedName>
    <definedName name="RiskCollectDistributionSamples" hidden="1">2</definedName>
    <definedName name="RiskFixedSeed" hidden="1">1</definedName>
    <definedName name="RiskHasSettings" hidden="1">5</definedName>
    <definedName name="RiskMinimizeOnStart" hidden="1">FALSE</definedName>
    <definedName name="RiskMonitorConvergence" hidden="1">FALSE</definedName>
    <definedName name="RiskMultipleCPUSupportEnabled" hidden="1">TRUE</definedName>
    <definedName name="RiskNumIterations" hidden="1">1000</definedName>
    <definedName name="RiskNumSimulations" hidden="1">3</definedName>
    <definedName name="RiskPauseOnError" hidden="1">FALSE</definedName>
    <definedName name="RiskRunAfterRecalcMacro" hidden="1">FALSE</definedName>
    <definedName name="RiskRunAfterSimMacro" hidden="1">FALSE</definedName>
    <definedName name="RiskRunBeforeRecalcMacro" hidden="1">FALSE</definedName>
    <definedName name="RiskRunBeforeSimMacro" hidden="1">FALSE</definedName>
    <definedName name="RiskSamplingType" hidden="1">3</definedName>
    <definedName name="RiskStandardRecalc" hidden="1">2</definedName>
    <definedName name="RiskUpdateDisplay" hidden="1">FALSE</definedName>
    <definedName name="RiskUseDifferentSeedForEachSim" hidden="1">FALSE</definedName>
    <definedName name="RiskUseFixedSeed" hidden="1">FALSE</definedName>
    <definedName name="RiskUseMultipleCPUs" hidden="1">TRUE</definedName>
    <definedName name="Unit">Model!$B$4</definedName>
    <definedName name="W">Model!$B$15</definedName>
    <definedName name="work">Model!$E$13</definedName>
    <definedName name="Wq">Model!$B$16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6" i="1" l="1"/>
  <c r="B9" i="1" l="1"/>
  <c r="B13" i="1"/>
  <c r="B17" i="1"/>
  <c r="C17" i="1"/>
  <c r="B18" i="1"/>
  <c r="C16" i="1"/>
  <c r="C15" i="1"/>
  <c r="C6" i="1"/>
  <c r="C5" i="1"/>
  <c r="B15" i="1" l="1"/>
  <c r="B16" i="1" s="1"/>
  <c r="B14" i="1" l="1"/>
  <c r="D16" i="1"/>
</calcChain>
</file>

<file path=xl/sharedStrings.xml><?xml version="1.0" encoding="utf-8"?>
<sst xmlns="http://schemas.openxmlformats.org/spreadsheetml/2006/main" count="24" uniqueCount="21">
  <si>
    <t>Inputs</t>
  </si>
  <si>
    <t>Unit of time</t>
  </si>
  <si>
    <t>hour</t>
  </si>
  <si>
    <t>Arrival rate</t>
  </si>
  <si>
    <t>Service rate</t>
  </si>
  <si>
    <t>Number of servers</t>
  </si>
  <si>
    <t>Maximum customers in system</t>
  </si>
  <si>
    <t>customers</t>
  </si>
  <si>
    <t>Outputs</t>
  </si>
  <si>
    <t>Steady-state probabilities</t>
  </si>
  <si>
    <t>Summary measures</t>
  </si>
  <si>
    <t>n</t>
  </si>
  <si>
    <t>Expected number in system</t>
  </si>
  <si>
    <t>Expected number in queue</t>
  </si>
  <si>
    <t>Expected time in system</t>
  </si>
  <si>
    <t>Expected time in queue</t>
  </si>
  <si>
    <t>Entering rate</t>
  </si>
  <si>
    <t>Percentage who don't wait in queue</t>
  </si>
  <si>
    <t>Limited queue model</t>
  </si>
  <si>
    <t>Maximum queue length</t>
  </si>
  <si>
    <r>
      <t>p</t>
    </r>
    <r>
      <rPr>
        <vertAlign val="subscript"/>
        <sz val="11"/>
        <rFont val="Calibri"/>
        <family val="2"/>
        <scheme val="minor"/>
      </rPr>
      <t>n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</si>
</sst>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0"/>
    <numFmt numFmtId="165" formatCode="0.000"/>
    <numFmt numFmtId="166" formatCode="0.0%"/>
  </numFmts>
  <fonts count="6">
    <font>
      <sz val="11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vertAlign val="subscript"/>
      <sz val="11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17">
    <xf numFmtId="0" fontId="0" fillId="0" borderId="0" xfId="0"/>
    <xf numFmtId="0" fontId="3" fillId="0" borderId="0" xfId="0" applyFont="1" applyAlignment="1">
      <alignment horizontal="left"/>
    </xf>
    <xf numFmtId="0" fontId="2" fillId="0" borderId="0" xfId="0" applyFont="1"/>
    <xf numFmtId="0" fontId="3" fillId="0" borderId="0" xfId="0" applyFont="1"/>
    <xf numFmtId="164" fontId="2" fillId="0" borderId="0" xfId="0" applyNumberFormat="1" applyFont="1"/>
    <xf numFmtId="0" fontId="2" fillId="0" borderId="0" xfId="0" quotePrefix="1" applyFont="1" applyAlignment="1">
      <alignment horizontal="left"/>
    </xf>
    <xf numFmtId="0" fontId="2" fillId="2" borderId="0" xfId="0" applyFont="1" applyFill="1" applyBorder="1" applyAlignment="1">
      <alignment horizontal="right"/>
    </xf>
    <xf numFmtId="0" fontId="2" fillId="2" borderId="0" xfId="0" applyFont="1" applyFill="1" applyBorder="1"/>
    <xf numFmtId="0" fontId="2" fillId="0" borderId="0" xfId="0" applyFont="1" applyAlignment="1">
      <alignment horizontal="right"/>
    </xf>
    <xf numFmtId="0" fontId="2" fillId="0" borderId="0" xfId="0" applyFont="1" applyAlignment="1">
      <alignment horizontal="left"/>
    </xf>
    <xf numFmtId="0" fontId="2" fillId="0" borderId="0" xfId="0" applyFont="1" applyFill="1" applyBorder="1"/>
    <xf numFmtId="164" fontId="2" fillId="0" borderId="0" xfId="0" applyNumberFormat="1" applyFont="1" applyAlignment="1">
      <alignment horizontal="right"/>
    </xf>
    <xf numFmtId="165" fontId="2" fillId="0" borderId="0" xfId="0" applyNumberFormat="1" applyFont="1"/>
    <xf numFmtId="166" fontId="2" fillId="0" borderId="0" xfId="1" applyNumberFormat="1" applyFont="1"/>
    <xf numFmtId="0" fontId="2" fillId="3" borderId="0" xfId="0" applyFont="1" applyFill="1"/>
    <xf numFmtId="165" fontId="2" fillId="3" borderId="0" xfId="0" applyNumberFormat="1" applyFont="1" applyFill="1"/>
    <xf numFmtId="0" fontId="2" fillId="3" borderId="0" xfId="0" applyFont="1" applyFill="1" applyAlignment="1">
      <alignment horizontal="right"/>
    </xf>
  </cellXfs>
  <cellStyles count="2">
    <cellStyle name="Normal" xfId="0" builtinId="0" customBuiltin="1"/>
    <cellStyle name="Per cent" xfId="1" builtinId="5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358140</xdr:colOff>
      <xdr:row>6</xdr:row>
      <xdr:rowOff>15240</xdr:rowOff>
    </xdr:from>
    <xdr:ext cx="4711418" cy="2095958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2278380" y="1112520"/>
          <a:ext cx="4711418" cy="2095958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600" b="0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On average, 40 cars per hour are tempted to use </a:t>
          </a:r>
        </a:p>
        <a:p>
          <a:r>
            <a:rPr lang="en-US" sz="1600" b="0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the drive-through window at the Hot Dog King </a:t>
          </a:r>
        </a:p>
        <a:p>
          <a:r>
            <a:rPr lang="en-US" sz="1600" b="0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Restaurant. (We assume that interarrival times are </a:t>
          </a:r>
        </a:p>
        <a:p>
          <a:r>
            <a:rPr lang="en-US" sz="1600" b="0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exponentially distributed.) If a total of more than four </a:t>
          </a:r>
        </a:p>
        <a:p>
          <a:r>
            <a:rPr lang="en-US" sz="1600" b="0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cars are in line (including the car at the window), a </a:t>
          </a:r>
        </a:p>
        <a:p>
          <a:r>
            <a:rPr lang="en-US" sz="1600" b="0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car will not enter the line. It takes an average of four </a:t>
          </a:r>
        </a:p>
        <a:p>
          <a:r>
            <a:rPr lang="en-US" sz="1600" b="0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minutes (exponentially distributed) to serve a car.</a:t>
          </a:r>
        </a:p>
        <a:p>
          <a:endParaRPr lang="en-US" sz="1600"/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581024</xdr:colOff>
      <xdr:row>2</xdr:row>
      <xdr:rowOff>95249</xdr:rowOff>
    </xdr:from>
    <xdr:to>
      <xdr:col>12</xdr:col>
      <xdr:colOff>152399</xdr:colOff>
      <xdr:row>6</xdr:row>
      <xdr:rowOff>28575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6781799" y="476249"/>
          <a:ext cx="2619375" cy="695326"/>
        </a:xfrm>
        <a:prstGeom prst="roundRect">
          <a:avLst/>
        </a:prstGeom>
        <a:solidFill>
          <a:schemeClr val="bg1">
            <a:shade val="80000"/>
          </a:schemeClr>
        </a:solidFill>
        <a:ln w="9525" cmpd="sng">
          <a:solidFill>
            <a:schemeClr val="lt1">
              <a:shade val="50000"/>
            </a:schemeClr>
          </a:solidFill>
        </a:ln>
        <a:effectLst>
          <a:outerShdw blurRad="50800" dist="38100" dir="8100000" algn="tr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/>
        <a:p>
          <a:r>
            <a:rPr lang="en-US" sz="1100"/>
            <a:t>Directions:</a:t>
          </a:r>
        </a:p>
        <a:p>
          <a:r>
            <a:rPr lang="en-US" sz="1100"/>
            <a:t>1. Enter the inputs in cells B4 through B8.</a:t>
          </a:r>
        </a:p>
        <a:p>
          <a:r>
            <a:rPr lang="en-US" sz="1100"/>
            <a:t>2. Click the button to the left.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622300</xdr:colOff>
          <xdr:row>2</xdr:row>
          <xdr:rowOff>177800</xdr:rowOff>
        </xdr:from>
        <xdr:to>
          <xdr:col>7</xdr:col>
          <xdr:colOff>215900</xdr:colOff>
          <xdr:row>5</xdr:row>
          <xdr:rowOff>165100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Calculate steady-state quantities</a:t>
              </a:r>
            </a:p>
          </xdr:txBody>
        </xdr:sp>
        <xdr:clientData/>
      </xdr:twoCellAnchor>
    </mc:Choice>
    <mc:Fallback/>
  </mc:AlternateContent>
  <xdr:oneCellAnchor>
    <xdr:from>
      <xdr:col>0</xdr:col>
      <xdr:colOff>182880</xdr:colOff>
      <xdr:row>19</xdr:row>
      <xdr:rowOff>34290</xdr:rowOff>
    </xdr:from>
    <xdr:ext cx="4655820" cy="3536866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182880" y="3539490"/>
          <a:ext cx="4655820" cy="3536866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100" b="0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a.What is the average number of cars waiting for the drive-through window (not including the car at the window)?</a:t>
          </a:r>
        </a:p>
        <a:p>
          <a:endParaRPr lang="en-US" sz="1100" b="0" i="0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1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Your</a:t>
          </a:r>
          <a:r>
            <a:rPr lang="en-US" sz="1100" b="1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Answer: 2.450</a:t>
          </a:r>
        </a:p>
        <a:p>
          <a:endParaRPr lang="en-US">
            <a:effectLst/>
          </a:endParaRPr>
        </a:p>
        <a:p>
          <a:endParaRPr lang="en-US" sz="1100" b="0" i="0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  <a:p>
          <a:endParaRPr lang="en-US" sz="1100" b="0" i="0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  <a:p>
          <a:endParaRPr lang="en-US" sz="1100" b="0" i="0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b.</a:t>
          </a:r>
          <a:r>
            <a:rPr lang="en-US" sz="1100" b="0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100" b="0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On average, how many cars will be served per hour?</a:t>
          </a:r>
          <a:endParaRPr lang="en-US">
            <a:effectLst/>
          </a:endParaRPr>
        </a:p>
        <a:p>
          <a:endParaRPr lang="en-US" sz="1100" b="0" i="0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1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Your Answer: 14.813</a:t>
          </a:r>
        </a:p>
        <a:p>
          <a:endParaRPr lang="en-US" sz="1100" b="0" i="0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  <a:p>
          <a:endParaRPr lang="en-US" sz="1100" b="0" i="0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  <a:p>
          <a:endParaRPr lang="en-US" sz="1100" b="0" i="0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  <a:p>
          <a:endParaRPr lang="en-US" sz="1100" b="0" i="0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c.You have just joined the line at the drive-through window. On average, how long will it be before you receive your food?</a:t>
          </a:r>
        </a:p>
        <a:p>
          <a:endParaRPr lang="en-US" sz="1100" b="1" i="0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1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Your Answer: 9.92</a:t>
          </a:r>
          <a:r>
            <a:rPr lang="en-US" sz="1100" b="1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minutes or 0.65 hours</a:t>
          </a:r>
          <a:endParaRPr lang="en-US" sz="1100"/>
        </a:p>
        <a:p>
          <a:endParaRPr lang="en-US" sz="1100"/>
        </a:p>
      </xdr:txBody>
    </xdr:sp>
    <xdr:clientData/>
  </xdr:oneCellAnchor>
  <xdr:oneCellAnchor>
    <xdr:from>
      <xdr:col>8</xdr:col>
      <xdr:colOff>190500</xdr:colOff>
      <xdr:row>8</xdr:row>
      <xdr:rowOff>60960</xdr:rowOff>
    </xdr:from>
    <xdr:ext cx="4711418" cy="2095958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 txBox="1"/>
      </xdr:nvSpPr>
      <xdr:spPr>
        <a:xfrm>
          <a:off x="7589520" y="1524000"/>
          <a:ext cx="4711418" cy="2095958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600" b="0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On average, 40 cars per hour are tempted to use </a:t>
          </a:r>
        </a:p>
        <a:p>
          <a:r>
            <a:rPr lang="en-US" sz="1600" b="0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the drive-through window at the Hot Dog King </a:t>
          </a:r>
        </a:p>
        <a:p>
          <a:r>
            <a:rPr lang="en-US" sz="1600" b="0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Restaurant. (We assume that interarrival times are </a:t>
          </a:r>
        </a:p>
        <a:p>
          <a:r>
            <a:rPr lang="en-US" sz="1600" b="0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exponentially distributed.) If a total of more than four </a:t>
          </a:r>
        </a:p>
        <a:p>
          <a:r>
            <a:rPr lang="en-US" sz="1600" b="0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cars are in line (including the car at the window), a </a:t>
          </a:r>
        </a:p>
        <a:p>
          <a:r>
            <a:rPr lang="en-US" sz="1600" b="0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car will not enter the line. It takes an average of four </a:t>
          </a:r>
        </a:p>
        <a:p>
          <a:r>
            <a:rPr lang="en-US" sz="1600" b="0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minutes (exponentially distributed) to serve a car.</a:t>
          </a:r>
        </a:p>
        <a:p>
          <a:endParaRPr lang="en-US" sz="1600"/>
        </a:p>
      </xdr:txBody>
    </xdr:sp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E96249-D73D-48C3-8BE7-CD4D9CC3027F}">
  <dimension ref="A1"/>
  <sheetViews>
    <sheetView workbookViewId="0">
      <selection activeCell="L13" sqref="L13"/>
    </sheetView>
  </sheetViews>
  <sheetFormatPr baseColWidth="10" defaultColWidth="8.83203125" defaultRowHeight="15"/>
  <sheetData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J24"/>
  <sheetViews>
    <sheetView tabSelected="1" topLeftCell="A12" workbookViewId="0">
      <selection activeCell="D16" sqref="D16"/>
    </sheetView>
  </sheetViews>
  <sheetFormatPr baseColWidth="10" defaultColWidth="9.1640625" defaultRowHeight="15"/>
  <cols>
    <col min="1" max="1" width="34.33203125" style="2" customWidth="1"/>
    <col min="2" max="2" width="9.1640625" style="2"/>
    <col min="3" max="3" width="17.1640625" style="2" customWidth="1"/>
    <col min="4" max="4" width="10.5" style="2" customWidth="1"/>
    <col min="5" max="5" width="5.1640625" style="2" customWidth="1"/>
    <col min="6" max="6" width="7.5" style="2" customWidth="1"/>
    <col min="7" max="7" width="9.1640625" style="4"/>
    <col min="8" max="8" width="9.1640625" style="12"/>
    <col min="9" max="10" width="9.1640625" style="4"/>
    <col min="11" max="16384" width="9.1640625" style="2"/>
  </cols>
  <sheetData>
    <row r="1" spans="1:10">
      <c r="A1" s="1" t="s">
        <v>18</v>
      </c>
      <c r="E1" s="3"/>
      <c r="H1" s="2"/>
      <c r="I1" s="2"/>
      <c r="J1" s="2"/>
    </row>
    <row r="2" spans="1:10">
      <c r="E2" s="5"/>
      <c r="H2" s="2"/>
      <c r="I2" s="2"/>
      <c r="J2" s="2"/>
    </row>
    <row r="3" spans="1:10">
      <c r="A3" s="3" t="s">
        <v>0</v>
      </c>
      <c r="E3" s="5"/>
      <c r="H3" s="2"/>
      <c r="I3" s="2"/>
      <c r="J3" s="2"/>
    </row>
    <row r="4" spans="1:10">
      <c r="A4" s="2" t="s">
        <v>1</v>
      </c>
      <c r="B4" s="6" t="s">
        <v>2</v>
      </c>
      <c r="H4" s="2"/>
      <c r="I4" s="2"/>
      <c r="J4" s="2"/>
    </row>
    <row r="5" spans="1:10">
      <c r="A5" s="2" t="s">
        <v>3</v>
      </c>
      <c r="B5" s="7">
        <v>40</v>
      </c>
      <c r="C5" s="8" t="str">
        <f>"customers/"&amp;Unit</f>
        <v>customers/hour</v>
      </c>
      <c r="H5" s="2"/>
      <c r="I5" s="2"/>
      <c r="J5" s="2"/>
    </row>
    <row r="6" spans="1:10">
      <c r="A6" s="2" t="s">
        <v>4</v>
      </c>
      <c r="B6" s="7">
        <f>60/4</f>
        <v>15</v>
      </c>
      <c r="C6" s="8" t="str">
        <f>"customers/"&amp;Unit</f>
        <v>customers/hour</v>
      </c>
      <c r="H6" s="2"/>
      <c r="I6" s="2"/>
      <c r="J6" s="2"/>
    </row>
    <row r="7" spans="1:10">
      <c r="A7" s="2" t="s">
        <v>5</v>
      </c>
      <c r="B7" s="7">
        <v>1</v>
      </c>
      <c r="C7" s="8"/>
      <c r="H7" s="2"/>
      <c r="I7" s="2"/>
      <c r="J7" s="2"/>
    </row>
    <row r="8" spans="1:10">
      <c r="A8" s="5" t="s">
        <v>6</v>
      </c>
      <c r="B8" s="7">
        <v>4</v>
      </c>
      <c r="C8" s="8" t="s">
        <v>7</v>
      </c>
      <c r="H8" s="2"/>
      <c r="I8" s="2"/>
      <c r="J8" s="2"/>
    </row>
    <row r="9" spans="1:10">
      <c r="A9" s="9" t="s">
        <v>19</v>
      </c>
      <c r="B9" s="10">
        <f>MaxCusts-NumServ</f>
        <v>3</v>
      </c>
      <c r="C9" s="8" t="s">
        <v>7</v>
      </c>
      <c r="H9" s="2"/>
      <c r="I9" s="2"/>
      <c r="J9" s="2"/>
    </row>
    <row r="10" spans="1:10">
      <c r="C10" s="8"/>
      <c r="H10" s="2"/>
      <c r="I10" s="2"/>
      <c r="J10" s="2"/>
    </row>
    <row r="11" spans="1:10">
      <c r="A11" s="3" t="s">
        <v>8</v>
      </c>
      <c r="C11" s="8"/>
      <c r="E11" s="3" t="s">
        <v>9</v>
      </c>
      <c r="H11" s="2"/>
      <c r="I11" s="2"/>
      <c r="J11" s="2"/>
    </row>
    <row r="12" spans="1:10" ht="17">
      <c r="A12" s="3" t="s">
        <v>10</v>
      </c>
      <c r="E12" s="8" t="s">
        <v>11</v>
      </c>
      <c r="F12" s="11" t="s">
        <v>20</v>
      </c>
      <c r="G12" s="2"/>
      <c r="H12" s="8"/>
      <c r="I12" s="8"/>
      <c r="J12" s="2"/>
    </row>
    <row r="13" spans="1:10">
      <c r="A13" s="2" t="s">
        <v>12</v>
      </c>
      <c r="B13" s="12">
        <f>SUMPRODUCT(NumSys,Probs)</f>
        <v>3.437355880092237</v>
      </c>
      <c r="C13" s="8" t="s">
        <v>7</v>
      </c>
      <c r="E13" s="2">
        <v>0</v>
      </c>
      <c r="F13" s="4">
        <v>1.2451960030745581E-2</v>
      </c>
      <c r="G13" s="2"/>
      <c r="J13" s="2"/>
    </row>
    <row r="14" spans="1:10">
      <c r="A14" s="14" t="s">
        <v>13</v>
      </c>
      <c r="B14" s="15">
        <f>EnterRate*Wq</f>
        <v>2.449807840122983</v>
      </c>
      <c r="C14" s="16" t="s">
        <v>7</v>
      </c>
      <c r="E14" s="2">
        <v>1</v>
      </c>
      <c r="F14" s="4">
        <v>3.3205226748654879E-2</v>
      </c>
      <c r="G14" s="2"/>
      <c r="J14" s="2"/>
    </row>
    <row r="15" spans="1:10">
      <c r="A15" s="2" t="s">
        <v>14</v>
      </c>
      <c r="B15" s="12">
        <f>L/EnterRate</f>
        <v>0.23204649232046498</v>
      </c>
      <c r="C15" s="8" t="str">
        <f>Unit&amp;"s"</f>
        <v>hours</v>
      </c>
      <c r="E15" s="2">
        <v>2</v>
      </c>
      <c r="F15" s="4">
        <v>8.8547271329746352E-2</v>
      </c>
      <c r="G15" s="2"/>
      <c r="J15" s="2"/>
    </row>
    <row r="16" spans="1:10">
      <c r="A16" s="14" t="s">
        <v>15</v>
      </c>
      <c r="B16" s="15">
        <f>W-1/Mu</f>
        <v>0.16537982565379833</v>
      </c>
      <c r="C16" s="16" t="str">
        <f>Unit&amp;"s"</f>
        <v>hours</v>
      </c>
      <c r="D16" s="2">
        <f>Wq*60</f>
        <v>9.9227895392278995</v>
      </c>
      <c r="E16" s="2">
        <v>3</v>
      </c>
      <c r="F16" s="4">
        <v>0.23612605687932359</v>
      </c>
      <c r="G16" s="2"/>
      <c r="J16" s="2"/>
    </row>
    <row r="17" spans="1:10">
      <c r="A17" s="14" t="s">
        <v>16</v>
      </c>
      <c r="B17" s="15">
        <f>Lam*(1-PFull)</f>
        <v>14.813220599538814</v>
      </c>
      <c r="C17" s="16" t="str">
        <f>"customers/"&amp;Unit</f>
        <v>customers/hour</v>
      </c>
      <c r="E17" s="2">
        <v>4</v>
      </c>
      <c r="F17" s="4">
        <v>0.62966948501152964</v>
      </c>
      <c r="G17" s="2"/>
      <c r="J17" s="2"/>
    </row>
    <row r="18" spans="1:10">
      <c r="A18" s="5" t="s">
        <v>17</v>
      </c>
      <c r="B18" s="13">
        <f>SUM(NoWaitStates)</f>
        <v>1.2451960030745581E-2</v>
      </c>
      <c r="F18" s="4"/>
      <c r="G18" s="2"/>
      <c r="J18" s="2"/>
    </row>
    <row r="19" spans="1:10">
      <c r="F19" s="4"/>
      <c r="G19" s="2"/>
      <c r="J19" s="2"/>
    </row>
    <row r="20" spans="1:10">
      <c r="F20" s="4"/>
      <c r="G20" s="2"/>
      <c r="J20" s="2"/>
    </row>
    <row r="21" spans="1:10">
      <c r="F21" s="4"/>
      <c r="G21" s="2"/>
      <c r="J21" s="2"/>
    </row>
    <row r="22" spans="1:10">
      <c r="F22" s="4"/>
      <c r="G22" s="2"/>
      <c r="J22" s="2"/>
    </row>
    <row r="23" spans="1:10">
      <c r="F23" s="4"/>
      <c r="G23" s="2"/>
      <c r="J23" s="2"/>
    </row>
    <row r="24" spans="1:10">
      <c r="J24" s="2"/>
    </row>
  </sheetData>
  <phoneticPr fontId="0" type="noConversion"/>
  <printOptions horizontalCentered="1" verticalCentered="1" headings="1" gridLines="1" gridLinesSet="0"/>
  <pageMargins left="0.75" right="0.75" top="1" bottom="1" header="0.5" footer="0.5"/>
  <pageSetup scale="82" orientation="portrait" horizontalDpi="240" verticalDpi="144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Line="0" autoPict="0" macro="[0]!Calc">
                <anchor moveWithCells="1" sizeWithCells="1">
                  <from>
                    <xdr:col>3</xdr:col>
                    <xdr:colOff>622300</xdr:colOff>
                    <xdr:row>2</xdr:row>
                    <xdr:rowOff>177800</xdr:rowOff>
                  </from>
                  <to>
                    <xdr:col>7</xdr:col>
                    <xdr:colOff>215900</xdr:colOff>
                    <xdr:row>5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17</vt:i4>
      </vt:variant>
    </vt:vector>
  </HeadingPairs>
  <TitlesOfParts>
    <vt:vector size="19" baseType="lpstr">
      <vt:lpstr>Question Background</vt:lpstr>
      <vt:lpstr>Model</vt:lpstr>
      <vt:lpstr>EnterRate</vt:lpstr>
      <vt:lpstr>L</vt:lpstr>
      <vt:lpstr>Lam</vt:lpstr>
      <vt:lpstr>Lq</vt:lpstr>
      <vt:lpstr>MaxCusts</vt:lpstr>
      <vt:lpstr>Mu</vt:lpstr>
      <vt:lpstr>NoWaitStates</vt:lpstr>
      <vt:lpstr>NumServ</vt:lpstr>
      <vt:lpstr>NumSys</vt:lpstr>
      <vt:lpstr>PEnter</vt:lpstr>
      <vt:lpstr>PFull</vt:lpstr>
      <vt:lpstr>PNoWait</vt:lpstr>
      <vt:lpstr>Probs</vt:lpstr>
      <vt:lpstr>Unit</vt:lpstr>
      <vt:lpstr>W</vt:lpstr>
      <vt:lpstr>work</vt:lpstr>
      <vt:lpstr>Wq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IU School of Business</dc:creator>
  <cp:lastModifiedBy>Microsoft Office User</cp:lastModifiedBy>
  <dcterms:created xsi:type="dcterms:W3CDTF">1999-10-13T20:02:33Z</dcterms:created>
  <dcterms:modified xsi:type="dcterms:W3CDTF">2020-07-18T04:08:14Z</dcterms:modified>
</cp:coreProperties>
</file>