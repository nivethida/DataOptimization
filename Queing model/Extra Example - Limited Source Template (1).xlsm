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PMS 5e\Example Files\Chapter 13\Finished Examples\"/>
    </mc:Choice>
  </mc:AlternateContent>
  <bookViews>
    <workbookView xWindow="120" yWindow="120" windowWidth="9375" windowHeight="4455"/>
  </bookViews>
  <sheets>
    <sheet name="Model" sheetId="1" r:id="rId1"/>
    <sheet name="Module1" sheetId="2" state="veryHidden" r:id=""/>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AvgBreakRate">Model!$B$14</definedName>
    <definedName name="L">Model!$B$12</definedName>
    <definedName name="Lam">Model!$B$5</definedName>
    <definedName name="Lq">Model!$B$13</definedName>
    <definedName name="Mu">Model!$B$6</definedName>
    <definedName name="NoWaitStates">Model!$F$12:$F$16</definedName>
    <definedName name="NumMach">Model!$B$8</definedName>
    <definedName name="NumQue">Model!#REF!</definedName>
    <definedName name="NumRep">Model!$B$7</definedName>
    <definedName name="NumSys">Model!$E$12:$E$37</definedName>
    <definedName name="PAllWorking">Model!$F$12</definedName>
    <definedName name="Probs">Model!$F$12:$F$37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3</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Unit">Model!$B$4</definedName>
    <definedName name="W">Model!$B$15</definedName>
    <definedName name="work">Model!$E$12</definedName>
    <definedName name="Wq">Model!$B$16</definedName>
  </definedNames>
  <calcPr calcId="152511"/>
</workbook>
</file>

<file path=xl/calcChain.xml><?xml version="1.0" encoding="utf-8"?>
<calcChain xmlns="http://schemas.openxmlformats.org/spreadsheetml/2006/main">
  <c r="B14" i="1" l="1"/>
  <c r="B12" i="1"/>
  <c r="B15" i="1" s="1"/>
  <c r="B16" i="1" s="1"/>
  <c r="B13" i="1" s="1"/>
  <c r="B17" i="1"/>
  <c r="C6" i="1"/>
  <c r="C5" i="1"/>
  <c r="C14" i="1"/>
  <c r="C16" i="1"/>
  <c r="C15" i="1"/>
</calcChain>
</file>

<file path=xl/sharedStrings.xml><?xml version="1.0" encoding="utf-8"?>
<sst xmlns="http://schemas.openxmlformats.org/spreadsheetml/2006/main" count="21" uniqueCount="20">
  <si>
    <t>Inputs</t>
  </si>
  <si>
    <t>Unit of time</t>
  </si>
  <si>
    <t>hour</t>
  </si>
  <si>
    <t>Breakdown rate per machine</t>
  </si>
  <si>
    <t>Number of repairmen</t>
  </si>
  <si>
    <t>Number of machines</t>
  </si>
  <si>
    <t>Outputs</t>
  </si>
  <si>
    <t>Steady-state probabilities</t>
  </si>
  <si>
    <t>Summary measures</t>
  </si>
  <si>
    <t>n</t>
  </si>
  <si>
    <t>Expected number broken</t>
  </si>
  <si>
    <t>machines</t>
  </si>
  <si>
    <t>Expected number waiting for repair</t>
  </si>
  <si>
    <t>Average breakdown rate</t>
  </si>
  <si>
    <t>Expected time in repair shop</t>
  </si>
  <si>
    <t>Expected time waiting for repairman</t>
  </si>
  <si>
    <t>Percentage of time all machines working</t>
  </si>
  <si>
    <t>Limited Source Model (Machine Repair Model)</t>
  </si>
  <si>
    <t>Repair rate per repairman</t>
  </si>
  <si>
    <r>
      <t>p</t>
    </r>
    <r>
      <rPr>
        <vertAlign val="subscript"/>
        <sz val="11"/>
        <rFont val="Calibri"/>
        <family val="2"/>
        <scheme val="minor"/>
      </rPr>
      <t>n</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</si>
</sst>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
    <numFmt numFmtId="166" formatCode="0.0%"/>
  </numFmts>
  <fonts count="6" x14ac:knownFonts="1">
    <font>
      <sz val="11"/>
      <name val="Calibri"/>
      <family val="2"/>
    </font>
    <font>
      <sz val="10"/>
      <name val="Arial"/>
      <family val="2"/>
    </font>
    <font>
      <b/>
      <sz val="11"/>
      <name val="Calibri"/>
      <family val="2"/>
      <scheme val="minor"/>
    </font>
    <font>
      <sz val="11"/>
      <name val="Calibri"/>
      <family val="2"/>
      <scheme val="minor"/>
    </font>
    <font>
      <vertAlign val="subscript"/>
      <sz val="11"/>
      <name val="Calibri"/>
      <family val="2"/>
      <scheme val="minor"/>
    </font>
    <font>
      <sz val="11"/>
      <color rgb="FF000000"/>
      <name val="Calibri"/>
      <family val="2"/>
    </font>
  </fonts>
  <fills count="3">
    <fill>
      <patternFill patternType="none"/>
    </fill>
    <fill>
      <patternFill patternType="gray125"/>
    </fill>
    <fill>
      <patternFill patternType="solid">
        <fgColor theme="4" tint="0.599993896298104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2" fillId="0" borderId="0" xfId="0" applyFont="1"/>
    <xf numFmtId="0" fontId="3" fillId="0" borderId="0" xfId="0" applyFont="1"/>
    <xf numFmtId="0" fontId="3" fillId="0" borderId="0" xfId="0" quotePrefix="1" applyFont="1" applyAlignment="1">
      <alignment horizontal="left"/>
    </xf>
    <xf numFmtId="0" fontId="3" fillId="0" borderId="0" xfId="0" applyFont="1" applyAlignment="1">
      <alignment horizontal="right"/>
    </xf>
    <xf numFmtId="165" fontId="3" fillId="0" borderId="0" xfId="0" applyNumberFormat="1" applyFont="1"/>
    <xf numFmtId="164" fontId="3" fillId="0" borderId="0" xfId="0" applyNumberFormat="1" applyFont="1"/>
    <xf numFmtId="0" fontId="3" fillId="0" borderId="0" xfId="0" applyFont="1" applyAlignment="1">
      <alignment horizontal="left"/>
    </xf>
    <xf numFmtId="166" fontId="3" fillId="0" borderId="0" xfId="1" applyNumberFormat="1" applyFont="1"/>
    <xf numFmtId="0" fontId="3" fillId="2" borderId="0" xfId="0" applyFont="1" applyFill="1" applyBorder="1" applyAlignment="1">
      <alignment horizontal="right"/>
    </xf>
    <xf numFmtId="0" fontId="3" fillId="2" borderId="0" xfId="0" applyFont="1" applyFill="1" applyBorder="1"/>
  </cellXfs>
  <cellStyles count="2">
    <cellStyle name="Normal" xfId="0" builtinId="0" customBuiltin="1"/>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495300</xdr:colOff>
      <xdr:row>2</xdr:row>
      <xdr:rowOff>66675</xdr:rowOff>
    </xdr:from>
    <xdr:to>
      <xdr:col>11</xdr:col>
      <xdr:colOff>523875</xdr:colOff>
      <xdr:row>6</xdr:row>
      <xdr:rowOff>19050</xdr:rowOff>
    </xdr:to>
    <xdr:sp macro="" textlink="">
      <xdr:nvSpPr>
        <xdr:cNvPr id="3" name="TextBox 2"/>
        <xdr:cNvSpPr txBox="1"/>
      </xdr:nvSpPr>
      <xdr:spPr>
        <a:xfrm>
          <a:off x="6257925" y="447675"/>
          <a:ext cx="2609850" cy="714375"/>
        </a:xfrm>
        <a:prstGeom prst="round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Directions:</a:t>
          </a:r>
        </a:p>
        <a:p>
          <a:r>
            <a:rPr lang="en-US" sz="1100"/>
            <a:t>1. Enter the inputs in cells B4 through B8.</a:t>
          </a:r>
        </a:p>
        <a:p>
          <a:r>
            <a:rPr lang="en-US" sz="1100"/>
            <a:t>2. Click the button to the left.</a:t>
          </a:r>
        </a:p>
      </xdr:txBody>
    </xdr:sp>
    <xdr:clientData/>
  </xdr:twoCellAnchor>
  <xdr:twoCellAnchor editAs="absolute">
    <xdr:from>
      <xdr:col>6</xdr:col>
      <xdr:colOff>485776</xdr:colOff>
      <xdr:row>11</xdr:row>
      <xdr:rowOff>76199</xdr:rowOff>
    </xdr:from>
    <xdr:to>
      <xdr:col>13</xdr:col>
      <xdr:colOff>485775</xdr:colOff>
      <xdr:row>29</xdr:row>
      <xdr:rowOff>171450</xdr:rowOff>
    </xdr:to>
    <xdr:sp macro="" textlink="">
      <xdr:nvSpPr>
        <xdr:cNvPr id="4" name="TextBox 3"/>
        <xdr:cNvSpPr txBox="1"/>
      </xdr:nvSpPr>
      <xdr:spPr>
        <a:xfrm>
          <a:off x="5638801" y="2209799"/>
          <a:ext cx="4410074" cy="3524251"/>
        </a:xfrm>
        <a:prstGeom prst="round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pPr rtl="0"/>
          <a:r>
            <a:rPr lang="en-US" sz="1100" b="0" i="0">
              <a:solidFill>
                <a:schemeClr val="dk1"/>
              </a:solidFill>
              <a:latin typeface="+mn-lt"/>
              <a:ea typeface="+mn-ea"/>
              <a:cs typeface="+mn-cs"/>
            </a:rPr>
            <a:t>The assumption is that each working machine takes an exponential time, with mean equal to the reciprocal of the rate in cell B5, to break down.  Each repair takes an exponential time with mean equal to the reciprocal of the rate in cell B6.</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The "n" in cell E11 refers to the number of machines currently broken down.  Each is either in repair or waiting for repair.</a:t>
          </a:r>
        </a:p>
        <a:p>
          <a:pPr rtl="0"/>
          <a:endParaRPr lang="en-US" sz="1100" b="0" i="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Like the Limited Queue model, this is a "self-regulating"</a:t>
          </a:r>
          <a:r>
            <a:rPr lang="en-US" sz="1100" baseline="0">
              <a:solidFill>
                <a:schemeClr val="dk1"/>
              </a:solidFill>
              <a:effectLst/>
              <a:latin typeface="+mn-lt"/>
              <a:ea typeface="+mn-ea"/>
              <a:cs typeface="+mn-cs"/>
            </a:rPr>
            <a:t> system that always achieves steady state. When the breakdown rate per machine is large, the irony is that a lot of machines will tend to be in the repair shop, which means that the system breakdown rate is then small. This is because there aren't many machines left to break down if most of them are in the repair shop! Of course, in a real system like this (e.g., in the military), the hope is that most machines will be in working order. Then the breakdown rate for the system is at its maximum -- but it is still small if the breakdown rate per machine is small.</a:t>
          </a:r>
          <a:endParaRPr lang="en-US">
            <a:effectLst/>
          </a:endParaRPr>
        </a:p>
        <a:p>
          <a:pPr rtl="0"/>
          <a:endParaRPr lang="en-US"/>
        </a:p>
      </xdr:txBody>
    </xdr:sp>
    <xdr:clientData/>
  </xdr:twoCellAnchor>
  <mc:AlternateContent xmlns:mc="http://schemas.openxmlformats.org/markup-compatibility/2006">
    <mc:Choice xmlns:a14="http://schemas.microsoft.com/office/drawing/2010/main" Requires="a14">
      <xdr:twoCellAnchor>
        <xdr:from>
          <xdr:col>4</xdr:col>
          <xdr:colOff>104775</xdr:colOff>
          <xdr:row>2</xdr:row>
          <xdr:rowOff>152400</xdr:rowOff>
        </xdr:from>
        <xdr:to>
          <xdr:col>7</xdr:col>
          <xdr:colOff>57150</xdr:colOff>
          <xdr:row>5</xdr:row>
          <xdr:rowOff>142875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steady-state quantities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38"/>
  <sheetViews>
    <sheetView tabSelected="1" workbookViewId="0"/>
  </sheetViews>
  <sheetFormatPr defaultRowHeight="15" x14ac:dyDescent="0.25"/>
  <cols>
    <col min="1" max="1" width="33.42578125" style="2" customWidth="1"/>
    <col min="2" max="2" width="9.140625" style="2"/>
    <col min="3" max="3" width="15.42578125" style="2" customWidth="1"/>
    <col min="4" max="4" width="4.42578125" style="2" customWidth="1"/>
    <col min="5" max="5" width="5.140625" style="2" customWidth="1"/>
    <col min="6" max="6" width="9.7109375" style="2" customWidth="1"/>
    <col min="7" max="8" width="9.140625" style="5"/>
    <col min="9" max="9" width="11.28515625" style="6" customWidth="1"/>
    <col min="10" max="10" width="9.140625" style="6"/>
    <col min="11" max="16384" width="9.140625" style="2"/>
  </cols>
  <sheetData>
    <row r="1" spans="1:10" x14ac:dyDescent="0.25">
      <c r="A1" s="1" t="s">
        <v>17</v>
      </c>
      <c r="E1" s="1"/>
      <c r="G1" s="2"/>
      <c r="H1" s="2"/>
      <c r="I1" s="2"/>
      <c r="J1" s="2"/>
    </row>
    <row r="2" spans="1:10" x14ac:dyDescent="0.25">
      <c r="E2" s="3"/>
      <c r="G2" s="2"/>
      <c r="H2" s="2"/>
      <c r="I2" s="2"/>
      <c r="J2" s="2"/>
    </row>
    <row r="3" spans="1:10" x14ac:dyDescent="0.25">
      <c r="A3" s="1" t="s">
        <v>0</v>
      </c>
      <c r="E3" s="3"/>
      <c r="G3" s="2"/>
      <c r="H3" s="2"/>
      <c r="I3" s="2"/>
      <c r="J3" s="2"/>
    </row>
    <row r="4" spans="1:10" x14ac:dyDescent="0.25">
      <c r="A4" s="2" t="s">
        <v>1</v>
      </c>
      <c r="B4" s="9" t="s">
        <v>2</v>
      </c>
      <c r="G4" s="2"/>
      <c r="H4" s="2"/>
      <c r="I4" s="2"/>
      <c r="J4" s="2"/>
    </row>
    <row r="5" spans="1:10" x14ac:dyDescent="0.25">
      <c r="A5" s="2" t="s">
        <v>3</v>
      </c>
      <c r="B5" s="10">
        <v>1</v>
      </c>
      <c r="C5" s="4" t="str">
        <f>"times/"&amp;Unit</f>
        <v>times/hour</v>
      </c>
      <c r="G5" s="2"/>
      <c r="H5" s="2"/>
      <c r="I5" s="2"/>
      <c r="J5" s="2"/>
    </row>
    <row r="6" spans="1:10" x14ac:dyDescent="0.25">
      <c r="A6" s="2" t="s">
        <v>18</v>
      </c>
      <c r="B6" s="10">
        <v>5</v>
      </c>
      <c r="C6" s="4" t="str">
        <f>"repairs/"&amp;Unit</f>
        <v>repairs/hour</v>
      </c>
      <c r="G6" s="2"/>
      <c r="H6" s="2"/>
      <c r="I6" s="2"/>
      <c r="J6" s="2"/>
    </row>
    <row r="7" spans="1:10" x14ac:dyDescent="0.25">
      <c r="A7" s="2" t="s">
        <v>4</v>
      </c>
      <c r="B7" s="10">
        <v>6</v>
      </c>
      <c r="C7" s="4"/>
      <c r="G7" s="2"/>
      <c r="H7" s="2"/>
      <c r="I7" s="2"/>
      <c r="J7" s="2"/>
    </row>
    <row r="8" spans="1:10" x14ac:dyDescent="0.25">
      <c r="A8" s="2" t="s">
        <v>5</v>
      </c>
      <c r="B8" s="10">
        <v>25</v>
      </c>
      <c r="C8" s="4"/>
      <c r="G8" s="2"/>
      <c r="H8" s="2"/>
      <c r="I8" s="2"/>
      <c r="J8" s="2"/>
    </row>
    <row r="9" spans="1:10" x14ac:dyDescent="0.25">
      <c r="C9" s="4"/>
      <c r="G9" s="2"/>
      <c r="H9" s="2"/>
      <c r="I9" s="2"/>
      <c r="J9" s="2"/>
    </row>
    <row r="10" spans="1:10" x14ac:dyDescent="0.25">
      <c r="A10" s="1" t="s">
        <v>6</v>
      </c>
      <c r="C10" s="4"/>
      <c r="E10" s="1" t="s">
        <v>7</v>
      </c>
      <c r="G10" s="2"/>
      <c r="H10" s="2"/>
      <c r="I10" s="2"/>
      <c r="J10" s="2"/>
    </row>
    <row r="11" spans="1:10" ht="18" x14ac:dyDescent="0.35">
      <c r="A11" s="1" t="s">
        <v>8</v>
      </c>
      <c r="E11" s="4" t="s">
        <v>9</v>
      </c>
      <c r="F11" s="4" t="s">
        <v>19</v>
      </c>
      <c r="G11" s="2"/>
      <c r="H11" s="4"/>
      <c r="I11" s="4"/>
      <c r="J11" s="2"/>
    </row>
    <row r="12" spans="1:10" x14ac:dyDescent="0.25">
      <c r="A12" s="3" t="s">
        <v>10</v>
      </c>
      <c r="B12" s="5">
        <f>SUMPRODUCT(NumSys,Probs)</f>
        <v>4.4544542447797708</v>
      </c>
      <c r="C12" s="4" t="s">
        <v>11</v>
      </c>
      <c r="E12" s="2">
        <v>0</v>
      </c>
      <c r="F12" s="6">
        <v>9.8647493869066238E-3</v>
      </c>
      <c r="G12" s="2"/>
      <c r="J12" s="2"/>
    </row>
    <row r="13" spans="1:10" x14ac:dyDescent="0.25">
      <c r="A13" s="3" t="s">
        <v>12</v>
      </c>
      <c r="B13" s="5">
        <f>AvgBreakRate*Wq</f>
        <v>0.34534509373572481</v>
      </c>
      <c r="C13" s="4" t="s">
        <v>11</v>
      </c>
      <c r="E13" s="2">
        <v>1</v>
      </c>
      <c r="F13" s="6">
        <v>4.932374507188797E-2</v>
      </c>
      <c r="G13" s="2"/>
      <c r="J13" s="2"/>
    </row>
    <row r="14" spans="1:10" x14ac:dyDescent="0.25">
      <c r="A14" s="2" t="s">
        <v>13</v>
      </c>
      <c r="B14" s="5">
        <f>(NumMach-SUMPRODUCT(NumSys,Probs))*Lam</f>
        <v>20.545545755220228</v>
      </c>
      <c r="C14" s="4" t="str">
        <f>"machines/"&amp;Unit</f>
        <v>machines/hour</v>
      </c>
      <c r="E14" s="2">
        <v>2</v>
      </c>
      <c r="F14" s="6">
        <v>0.11837699264287949</v>
      </c>
      <c r="G14" s="2"/>
      <c r="J14" s="2"/>
    </row>
    <row r="15" spans="1:10" x14ac:dyDescent="0.25">
      <c r="A15" s="3" t="s">
        <v>14</v>
      </c>
      <c r="B15" s="5">
        <f>L/AvgBreakRate</f>
        <v>0.21680875737496433</v>
      </c>
      <c r="C15" s="4" t="str">
        <f>Unit&amp;"s"</f>
        <v>hours</v>
      </c>
      <c r="E15" s="2">
        <v>3</v>
      </c>
      <c r="F15" s="6">
        <v>0.18151138722896576</v>
      </c>
      <c r="G15" s="2"/>
      <c r="J15" s="2"/>
    </row>
    <row r="16" spans="1:10" x14ac:dyDescent="0.25">
      <c r="A16" s="3" t="s">
        <v>15</v>
      </c>
      <c r="B16" s="5">
        <f>W-1/Mu</f>
        <v>1.6808757374964317E-2</v>
      </c>
      <c r="C16" s="4" t="str">
        <f>Unit&amp;"s"</f>
        <v>hours</v>
      </c>
      <c r="E16" s="2">
        <v>4</v>
      </c>
      <c r="F16" s="6">
        <v>0.19966252148151398</v>
      </c>
      <c r="G16" s="2"/>
      <c r="J16" s="2"/>
    </row>
    <row r="17" spans="1:10" x14ac:dyDescent="0.25">
      <c r="A17" s="7" t="s">
        <v>16</v>
      </c>
      <c r="B17" s="8">
        <f>PAllWorking</f>
        <v>9.8647493869066238E-3</v>
      </c>
      <c r="E17" s="2">
        <v>5</v>
      </c>
      <c r="F17" s="6">
        <v>0.16771653294563293</v>
      </c>
      <c r="G17" s="2"/>
      <c r="J17" s="2"/>
    </row>
    <row r="18" spans="1:10" x14ac:dyDescent="0.25">
      <c r="B18" s="6"/>
      <c r="E18" s="2">
        <v>6</v>
      </c>
      <c r="F18" s="6">
        <v>0.11181101948022842</v>
      </c>
      <c r="G18" s="2"/>
      <c r="J18" s="2"/>
    </row>
    <row r="19" spans="1:10" x14ac:dyDescent="0.25">
      <c r="E19" s="2">
        <v>7</v>
      </c>
      <c r="F19" s="6">
        <v>7.0813640952110291E-2</v>
      </c>
      <c r="G19" s="2"/>
      <c r="J19" s="2"/>
    </row>
    <row r="20" spans="1:10" x14ac:dyDescent="0.25">
      <c r="E20" s="2">
        <v>8</v>
      </c>
      <c r="F20" s="6">
        <v>4.2488187551498413E-2</v>
      </c>
      <c r="G20" s="2"/>
      <c r="J20" s="2"/>
    </row>
    <row r="21" spans="1:10" x14ac:dyDescent="0.25">
      <c r="E21" s="2">
        <v>9</v>
      </c>
      <c r="F21" s="6">
        <v>2.4076640605926514E-2</v>
      </c>
      <c r="G21" s="2"/>
      <c r="J21" s="2"/>
    </row>
    <row r="22" spans="1:10" x14ac:dyDescent="0.25">
      <c r="E22" s="2">
        <v>10</v>
      </c>
      <c r="F22" s="6">
        <v>1.2840874493122101E-2</v>
      </c>
      <c r="G22" s="2"/>
      <c r="J22" s="2"/>
    </row>
    <row r="23" spans="1:10" x14ac:dyDescent="0.25">
      <c r="E23" s="2">
        <v>11</v>
      </c>
      <c r="F23" s="6">
        <v>6.4204372465610504E-3</v>
      </c>
      <c r="G23" s="2"/>
      <c r="J23" s="2"/>
    </row>
    <row r="24" spans="1:10" x14ac:dyDescent="0.25">
      <c r="E24" s="2">
        <v>12</v>
      </c>
      <c r="F24" s="6">
        <v>2.9962041880935431E-3</v>
      </c>
      <c r="G24" s="2"/>
      <c r="J24" s="2"/>
    </row>
    <row r="25" spans="1:10" x14ac:dyDescent="0.25">
      <c r="E25" s="2">
        <v>13</v>
      </c>
      <c r="F25" s="6">
        <v>1.298355171456933E-3</v>
      </c>
      <c r="G25" s="2"/>
      <c r="J25" s="2"/>
    </row>
    <row r="26" spans="1:10" x14ac:dyDescent="0.25">
      <c r="E26" s="2">
        <v>14</v>
      </c>
      <c r="F26" s="6">
        <v>5.1934208022430539E-4</v>
      </c>
      <c r="G26" s="2"/>
      <c r="J26" s="2"/>
    </row>
    <row r="27" spans="1:10" x14ac:dyDescent="0.25">
      <c r="E27" s="2">
        <v>15</v>
      </c>
      <c r="F27" s="6">
        <v>1.9042543135583401E-4</v>
      </c>
      <c r="G27" s="2"/>
      <c r="J27" s="2"/>
    </row>
    <row r="28" spans="1:10" x14ac:dyDescent="0.25">
      <c r="E28" s="2">
        <v>16</v>
      </c>
      <c r="F28" s="6">
        <v>6.3475141359958798E-5</v>
      </c>
      <c r="G28" s="2"/>
      <c r="J28" s="2"/>
    </row>
    <row r="29" spans="1:10" x14ac:dyDescent="0.25">
      <c r="E29" s="2">
        <v>17</v>
      </c>
      <c r="F29" s="6">
        <v>1.9042543499381281E-5</v>
      </c>
      <c r="G29" s="2"/>
      <c r="J29" s="2"/>
    </row>
    <row r="30" spans="1:10" x14ac:dyDescent="0.25">
      <c r="E30" s="2">
        <v>18</v>
      </c>
      <c r="F30" s="6">
        <v>5.0780113269865979E-6</v>
      </c>
      <c r="G30" s="2"/>
      <c r="J30" s="2"/>
    </row>
    <row r="31" spans="1:10" x14ac:dyDescent="0.25">
      <c r="E31" s="2">
        <v>19</v>
      </c>
      <c r="F31" s="6">
        <v>1.1848693475258187E-6</v>
      </c>
      <c r="G31" s="2"/>
      <c r="J31" s="2"/>
    </row>
    <row r="32" spans="1:10" x14ac:dyDescent="0.25">
      <c r="E32" s="2">
        <v>20</v>
      </c>
      <c r="F32" s="6">
        <v>2.3697387518950563E-7</v>
      </c>
      <c r="G32" s="2"/>
      <c r="J32" s="2"/>
    </row>
    <row r="33" spans="5:7" x14ac:dyDescent="0.25">
      <c r="E33" s="2">
        <v>21</v>
      </c>
      <c r="F33" s="6">
        <v>3.9495649417631284E-8</v>
      </c>
      <c r="G33" s="2"/>
    </row>
    <row r="34" spans="5:7" x14ac:dyDescent="0.25">
      <c r="E34" s="2">
        <v>22</v>
      </c>
      <c r="F34" s="6">
        <v>5.2660862337461367E-9</v>
      </c>
      <c r="G34" s="2"/>
    </row>
    <row r="35" spans="5:7" x14ac:dyDescent="0.25">
      <c r="E35" s="2">
        <v>23</v>
      </c>
      <c r="F35" s="6">
        <v>5.2660864557907416E-10</v>
      </c>
      <c r="G35" s="2"/>
    </row>
    <row r="36" spans="5:7" x14ac:dyDescent="0.25">
      <c r="E36" s="2">
        <v>24</v>
      </c>
      <c r="F36" s="6">
        <v>3.5107240031750919E-11</v>
      </c>
      <c r="G36" s="2"/>
    </row>
    <row r="37" spans="5:7" x14ac:dyDescent="0.25">
      <c r="E37" s="2">
        <v>25</v>
      </c>
      <c r="F37" s="6">
        <v>1.1702413127076539E-12</v>
      </c>
      <c r="G37" s="2"/>
    </row>
    <row r="38" spans="5:7" x14ac:dyDescent="0.25">
      <c r="G38" s="6"/>
    </row>
  </sheetData>
  <phoneticPr fontId="0" type="noConversion"/>
  <printOptions horizontalCentered="1" verticalCentered="1" headings="1" gridLines="1" gridLinesSet="0"/>
  <pageMargins left="0.75" right="0.75" top="1" bottom="1" header="0.5" footer="0.5"/>
  <pageSetup scale="8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Line="0" autoPict="0" macro="[0]!Calc">
                <anchor moveWithCells="1" sizeWithCells="1">
                  <from>
                    <xdr:col>4</xdr:col>
                    <xdr:colOff>104775</xdr:colOff>
                    <xdr:row>2</xdr:row>
                    <xdr:rowOff>152400</xdr:rowOff>
                  </from>
                  <to>
                    <xdr:col>7</xdr:col>
                    <xdr:colOff>57150</xdr:colOff>
                    <xdr:row>5</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vt:i4>
      </vt:variant>
    </vt:vector>
  </HeadingPairs>
  <TitlesOfParts>
    <vt:vector size="16" baseType="lpstr">
      <vt:lpstr>Model</vt:lpstr>
      <vt:lpstr>AvgBreakRate</vt:lpstr>
      <vt:lpstr>L</vt:lpstr>
      <vt:lpstr>Lam</vt:lpstr>
      <vt:lpstr>Lq</vt:lpstr>
      <vt:lpstr>Mu</vt:lpstr>
      <vt:lpstr>NoWaitStates</vt:lpstr>
      <vt:lpstr>NumMach</vt:lpstr>
      <vt:lpstr>NumRep</vt:lpstr>
      <vt:lpstr>NumSys</vt:lpstr>
      <vt:lpstr>PAllWorking</vt:lpstr>
      <vt:lpstr>Probs</vt:lpstr>
      <vt:lpstr>Unit</vt:lpstr>
      <vt:lpstr>W</vt:lpstr>
      <vt:lpstr>work</vt:lpstr>
      <vt:lpstr>Wq</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Chris Albright</cp:lastModifiedBy>
  <dcterms:created xsi:type="dcterms:W3CDTF">1999-10-13T20:27:17Z</dcterms:created>
  <dcterms:modified xsi:type="dcterms:W3CDTF">2014-02-11T21:04:05Z</dcterms:modified>
</cp:coreProperties>
</file>