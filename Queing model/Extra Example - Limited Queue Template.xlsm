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PMS 5e\Example Files\Chapter 13\Finished Examples\"/>
    </mc:Choice>
  </mc:AlternateContent>
  <bookViews>
    <workbookView xWindow="120" yWindow="120" windowWidth="9375" windowHeight="4455"/>
  </bookViews>
  <sheets>
    <sheet name="Model" sheetId="1" r:id="rId1"/>
    <sheet name="Module" sheetId="2" state="veryHidden" r:id=""/>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EnterRate">Model!$B$17</definedName>
    <definedName name="L">Model!$B$13</definedName>
    <definedName name="Lam">Model!$B$5</definedName>
    <definedName name="Lq">Model!$B$14</definedName>
    <definedName name="MaxCusts">Model!$B$8</definedName>
    <definedName name="Mu">Model!$B$6</definedName>
    <definedName name="NoWaitStates">Model!$F$13:$F$18</definedName>
    <definedName name="NumServ">Model!$B$7</definedName>
    <definedName name="NumSys">Model!$E$13:$E$23</definedName>
    <definedName name="PEnter">Model!$B$17</definedName>
    <definedName name="PFull">Model!$F$23</definedName>
    <definedName name="PNoWait">Model!$B$18</definedName>
    <definedName name="Probs">Model!$F$13:$F$23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3</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Unit">Model!$B$4</definedName>
    <definedName name="W">Model!$B$15</definedName>
    <definedName name="work">Model!$E$13</definedName>
    <definedName name="Wq">Model!$B$16</definedName>
  </definedNames>
  <calcPr calcId="152511"/>
</workbook>
</file>

<file path=xl/calcChain.xml><?xml version="1.0" encoding="utf-8"?>
<calcChain xmlns="http://schemas.openxmlformats.org/spreadsheetml/2006/main">
  <c r="B9" i="1" l="1"/>
  <c r="B13" i="1"/>
  <c r="B17" i="1"/>
  <c r="C17" i="1"/>
  <c r="B18" i="1"/>
  <c r="C16" i="1"/>
  <c r="C15" i="1"/>
  <c r="C6" i="1"/>
  <c r="C5" i="1"/>
  <c r="B15" i="1" l="1"/>
  <c r="B16" i="1" s="1"/>
  <c r="B14" i="1" s="1"/>
</calcChain>
</file>

<file path=xl/sharedStrings.xml><?xml version="1.0" encoding="utf-8"?>
<sst xmlns="http://schemas.openxmlformats.org/spreadsheetml/2006/main" count="24" uniqueCount="21">
  <si>
    <t>Inputs</t>
  </si>
  <si>
    <t>Unit of time</t>
  </si>
  <si>
    <t>hour</t>
  </si>
  <si>
    <t>Arrival rate</t>
  </si>
  <si>
    <t>Service rate</t>
  </si>
  <si>
    <t>Number of servers</t>
  </si>
  <si>
    <t>Maximum customers in system</t>
  </si>
  <si>
    <t>customers</t>
  </si>
  <si>
    <t>Outputs</t>
  </si>
  <si>
    <t>Steady-state probabilities</t>
  </si>
  <si>
    <t>Summary measures</t>
  </si>
  <si>
    <t>n</t>
  </si>
  <si>
    <t>Expected number in system</t>
  </si>
  <si>
    <t>Expected number in queue</t>
  </si>
  <si>
    <t>Expected time in system</t>
  </si>
  <si>
    <t>Expected time in queue</t>
  </si>
  <si>
    <t>Entering rate</t>
  </si>
  <si>
    <t>Percentage who don't wait in queue</t>
  </si>
  <si>
    <t>Limited queue model</t>
  </si>
  <si>
    <t>Maximum queue length</t>
  </si>
  <si>
    <r>
      <t>p</t>
    </r>
    <r>
      <rPr>
        <vertAlign val="subscript"/>
        <sz val="11"/>
        <rFont val="Calibri"/>
        <family val="2"/>
        <scheme val="minor"/>
      </rPr>
      <t>n</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</si>
</sst>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
    <numFmt numFmtId="166" formatCode="0.0%"/>
  </numFmts>
  <fonts count="6" x14ac:knownFonts="1">
    <font>
      <sz val="11"/>
      <name val="Calibri"/>
      <family val="2"/>
    </font>
    <font>
      <sz val="10"/>
      <name val="Arial"/>
      <family val="2"/>
    </font>
    <font>
      <sz val="11"/>
      <name val="Calibri"/>
      <family val="2"/>
      <scheme val="minor"/>
    </font>
    <font>
      <b/>
      <sz val="11"/>
      <name val="Calibri"/>
      <family val="2"/>
      <scheme val="minor"/>
    </font>
    <font>
      <vertAlign val="subscript"/>
      <sz val="11"/>
      <name val="Calibri"/>
      <family val="2"/>
      <scheme val="minor"/>
    </font>
    <font>
      <sz val="11"/>
      <color rgb="FF000000"/>
      <name val="Calibri"/>
      <family val="2"/>
    </font>
  </fonts>
  <fills count="3">
    <fill>
      <patternFill patternType="none"/>
    </fill>
    <fill>
      <patternFill patternType="gray125"/>
    </fill>
    <fill>
      <patternFill patternType="solid">
        <fgColor theme="4" tint="0.599993896298104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3" fillId="0" borderId="0" xfId="0" applyFont="1" applyAlignment="1">
      <alignment horizontal="left"/>
    </xf>
    <xf numFmtId="0" fontId="2" fillId="0" borderId="0" xfId="0" applyFont="1"/>
    <xf numFmtId="0" fontId="3" fillId="0" borderId="0" xfId="0" applyFont="1"/>
    <xf numFmtId="164" fontId="2" fillId="0" borderId="0" xfId="0" applyNumberFormat="1" applyFont="1"/>
    <xf numFmtId="0" fontId="2" fillId="0" borderId="0" xfId="0" quotePrefix="1" applyFont="1" applyAlignment="1">
      <alignment horizontal="left"/>
    </xf>
    <xf numFmtId="0" fontId="2" fillId="2" borderId="0" xfId="0" applyFont="1" applyFill="1" applyBorder="1" applyAlignment="1">
      <alignment horizontal="right"/>
    </xf>
    <xf numFmtId="0" fontId="2" fillId="2" borderId="0" xfId="0" applyFont="1" applyFill="1" applyBorder="1"/>
    <xf numFmtId="0" fontId="2" fillId="0" borderId="0" xfId="0" applyFont="1" applyAlignment="1">
      <alignment horizontal="right"/>
    </xf>
    <xf numFmtId="0" fontId="2" fillId="0" borderId="0" xfId="0" applyFont="1" applyAlignment="1">
      <alignment horizontal="left"/>
    </xf>
    <xf numFmtId="0" fontId="2" fillId="0" borderId="0" xfId="0" applyFont="1" applyFill="1" applyBorder="1"/>
    <xf numFmtId="164" fontId="2" fillId="0" borderId="0" xfId="0" applyNumberFormat="1" applyFont="1" applyAlignment="1">
      <alignment horizontal="right"/>
    </xf>
    <xf numFmtId="165" fontId="2" fillId="0" borderId="0" xfId="0" applyNumberFormat="1" applyFont="1"/>
    <xf numFmtId="166" fontId="2" fillId="0" borderId="0" xfId="1" applyNumberFormat="1" applyFont="1"/>
  </cellXfs>
  <cellStyles count="2">
    <cellStyle name="Normal" xfId="0" builtinId="0" customBuiltin="1"/>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7</xdr:col>
      <xdr:colOff>581024</xdr:colOff>
      <xdr:row>2</xdr:row>
      <xdr:rowOff>95249</xdr:rowOff>
    </xdr:from>
    <xdr:to>
      <xdr:col>12</xdr:col>
      <xdr:colOff>152399</xdr:colOff>
      <xdr:row>6</xdr:row>
      <xdr:rowOff>28575</xdr:rowOff>
    </xdr:to>
    <xdr:sp macro="" textlink="">
      <xdr:nvSpPr>
        <xdr:cNvPr id="3" name="TextBox 2"/>
        <xdr:cNvSpPr txBox="1"/>
      </xdr:nvSpPr>
      <xdr:spPr>
        <a:xfrm>
          <a:off x="6781799" y="476249"/>
          <a:ext cx="2619375" cy="695326"/>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Directions:</a:t>
          </a:r>
        </a:p>
        <a:p>
          <a:r>
            <a:rPr lang="en-US" sz="1100"/>
            <a:t>1. Enter the inputs in cells B4 through B8.</a:t>
          </a:r>
        </a:p>
        <a:p>
          <a:r>
            <a:rPr lang="en-US" sz="1100"/>
            <a:t>2. Click the button to the left.</a:t>
          </a:r>
        </a:p>
      </xdr:txBody>
    </xdr:sp>
    <xdr:clientData/>
  </xdr:twoCellAnchor>
  <xdr:twoCellAnchor>
    <xdr:from>
      <xdr:col>7</xdr:col>
      <xdr:colOff>285750</xdr:colOff>
      <xdr:row>8</xdr:row>
      <xdr:rowOff>38100</xdr:rowOff>
    </xdr:from>
    <xdr:to>
      <xdr:col>14</xdr:col>
      <xdr:colOff>476249</xdr:colOff>
      <xdr:row>29</xdr:row>
      <xdr:rowOff>85725</xdr:rowOff>
    </xdr:to>
    <xdr:sp macro="" textlink="">
      <xdr:nvSpPr>
        <xdr:cNvPr id="4" name="TextBox 3"/>
        <xdr:cNvSpPr txBox="1"/>
      </xdr:nvSpPr>
      <xdr:spPr>
        <a:xfrm>
          <a:off x="6486525" y="1562100"/>
          <a:ext cx="4457699" cy="4086225"/>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rtl="0" eaLnBrk="1" fontAlgn="auto" latinLnBrk="0" hangingPunct="1">
            <a:lnSpc>
              <a:spcPct val="100000"/>
            </a:lnSpc>
            <a:spcBef>
              <a:spcPts val="0"/>
            </a:spcBef>
            <a:spcAft>
              <a:spcPts val="0"/>
            </a:spcAft>
            <a:buClrTx/>
            <a:buSzTx/>
            <a:buFontTx/>
            <a:buNone/>
            <a:tabLst/>
            <a:defRPr/>
          </a:pPr>
          <a:r>
            <a:rPr lang="en-US" sz="1100" b="0" i="0">
              <a:solidFill>
                <a:schemeClr val="dk1"/>
              </a:solidFill>
              <a:latin typeface="+mn-lt"/>
              <a:ea typeface="+mn-ea"/>
              <a:cs typeface="+mn-cs"/>
            </a:rPr>
            <a:t>Unlike the M/M/s system where the number in the system, n, can be </a:t>
          </a:r>
          <a:r>
            <a:rPr lang="en-US" sz="1100" b="0" i="1">
              <a:solidFill>
                <a:schemeClr val="dk1"/>
              </a:solidFill>
              <a:latin typeface="+mn-lt"/>
              <a:ea typeface="+mn-ea"/>
              <a:cs typeface="+mn-cs"/>
            </a:rPr>
            <a:t>any </a:t>
          </a:r>
          <a:r>
            <a:rPr lang="en-US" sz="1100" b="0" i="0">
              <a:solidFill>
                <a:schemeClr val="dk1"/>
              </a:solidFill>
              <a:latin typeface="+mn-lt"/>
              <a:ea typeface="+mn-ea"/>
              <a:cs typeface="+mn-cs"/>
            </a:rPr>
            <a:t>nonnegative integer, the only possible values of n in this system are from 0 to the input value in cell B8.  So it is possible to list them and their steady-state probabilities.</a:t>
          </a:r>
        </a:p>
        <a:p>
          <a:pPr marL="0" marR="0" indent="0" defTabSz="914400" rtl="0" eaLnBrk="1" fontAlgn="auto" latinLnBrk="0" hangingPunct="1">
            <a:lnSpc>
              <a:spcPct val="100000"/>
            </a:lnSpc>
            <a:spcBef>
              <a:spcPts val="0"/>
            </a:spcBef>
            <a:spcAft>
              <a:spcPts val="0"/>
            </a:spcAft>
            <a:buClrTx/>
            <a:buSzTx/>
            <a:buFontTx/>
            <a:buNone/>
            <a:tabLst/>
            <a:defRPr/>
          </a:pPr>
          <a:endParaRPr lang="en-US" sz="1100" b="0" i="0">
            <a:solidFill>
              <a:schemeClr val="dk1"/>
            </a:solidFill>
            <a:latin typeface="+mn-lt"/>
            <a:ea typeface="+mn-ea"/>
            <a:cs typeface="+mn-cs"/>
          </a:endParaRPr>
        </a:p>
        <a:p>
          <a:r>
            <a:rPr lang="en-US" sz="1100">
              <a:solidFill>
                <a:schemeClr val="dk1"/>
              </a:solidFill>
              <a:effectLst/>
              <a:latin typeface="+mn-lt"/>
              <a:ea typeface="+mn-ea"/>
              <a:cs typeface="+mn-cs"/>
            </a:rPr>
            <a:t>The interesting aspect</a:t>
          </a:r>
          <a:r>
            <a:rPr lang="en-US" sz="1100" baseline="0">
              <a:solidFill>
                <a:schemeClr val="dk1"/>
              </a:solidFill>
              <a:effectLst/>
              <a:latin typeface="+mn-lt"/>
              <a:ea typeface="+mn-ea"/>
              <a:cs typeface="+mn-cs"/>
            </a:rPr>
            <a:t> of this queueing model is that it is "self-regulating." Regardless of the relationship between the arrival rate and the service rate, steady state is </a:t>
          </a:r>
          <a:r>
            <a:rPr lang="en-US" sz="1100" i="1" baseline="0">
              <a:solidFill>
                <a:schemeClr val="dk1"/>
              </a:solidFill>
              <a:effectLst/>
              <a:latin typeface="+mn-lt"/>
              <a:ea typeface="+mn-ea"/>
              <a:cs typeface="+mn-cs"/>
            </a:rPr>
            <a:t>always </a:t>
          </a:r>
          <a:r>
            <a:rPr lang="en-US" sz="1100" i="0" baseline="0">
              <a:solidFill>
                <a:schemeClr val="dk1"/>
              </a:solidFill>
              <a:effectLst/>
              <a:latin typeface="+mn-lt"/>
              <a:ea typeface="+mn-ea"/>
              <a:cs typeface="+mn-cs"/>
            </a:rPr>
            <a:t>achieved. Specifically, even if the arrival rate is </a:t>
          </a:r>
          <a:r>
            <a:rPr lang="en-US" sz="1100" i="1" baseline="0">
              <a:solidFill>
                <a:schemeClr val="dk1"/>
              </a:solidFill>
              <a:effectLst/>
              <a:latin typeface="+mn-lt"/>
              <a:ea typeface="+mn-ea"/>
              <a:cs typeface="+mn-cs"/>
            </a:rPr>
            <a:t>larger </a:t>
          </a:r>
          <a:r>
            <a:rPr lang="en-US" sz="1100" i="0" baseline="0">
              <a:solidFill>
                <a:schemeClr val="dk1"/>
              </a:solidFill>
              <a:effectLst/>
              <a:latin typeface="+mn-lt"/>
              <a:ea typeface="+mn-ea"/>
              <a:cs typeface="+mn-cs"/>
            </a:rPr>
            <a:t>than the maximum service rate, the system won't blow up; arriving customers will simply be turned away if the system gets full. Of course, this might still lead to an undesirable system -- many potential customers lost -- but at least the system congestion is limited.</a:t>
          </a:r>
          <a:endParaRPr lang="en-US">
            <a:effectLst/>
          </a:endParaRPr>
        </a:p>
        <a:p>
          <a:endParaRPr lang="en-US" sz="1100" i="0" baseline="0">
            <a:solidFill>
              <a:schemeClr val="dk1"/>
            </a:solidFill>
            <a:effectLst/>
            <a:latin typeface="+mn-lt"/>
            <a:ea typeface="+mn-ea"/>
            <a:cs typeface="+mn-cs"/>
          </a:endParaRPr>
        </a:p>
        <a:p>
          <a:r>
            <a:rPr lang="en-US" sz="1100" i="0" baseline="0">
              <a:solidFill>
                <a:schemeClr val="dk1"/>
              </a:solidFill>
              <a:effectLst/>
              <a:latin typeface="+mn-lt"/>
              <a:ea typeface="+mn-ea"/>
              <a:cs typeface="+mn-cs"/>
            </a:rPr>
            <a:t>Note that the "lambda" in Little's law (see the formulas in cells B14 and B15) is </a:t>
          </a:r>
          <a:r>
            <a:rPr lang="en-US" sz="1100" i="1" baseline="0">
              <a:solidFill>
                <a:schemeClr val="dk1"/>
              </a:solidFill>
              <a:effectLst/>
              <a:latin typeface="+mn-lt"/>
              <a:ea typeface="+mn-ea"/>
              <a:cs typeface="+mn-cs"/>
            </a:rPr>
            <a:t>not </a:t>
          </a:r>
          <a:r>
            <a:rPr lang="en-US" sz="1100" i="0" baseline="0">
              <a:solidFill>
                <a:schemeClr val="dk1"/>
              </a:solidFill>
              <a:effectLst/>
              <a:latin typeface="+mn-lt"/>
              <a:ea typeface="+mn-ea"/>
              <a:cs typeface="+mn-cs"/>
            </a:rPr>
            <a:t>the arrival rate in call B5. This rate is for </a:t>
          </a:r>
          <a:r>
            <a:rPr lang="en-US" sz="1100" i="1" baseline="0">
              <a:solidFill>
                <a:schemeClr val="dk1"/>
              </a:solidFill>
              <a:effectLst/>
              <a:latin typeface="+mn-lt"/>
              <a:ea typeface="+mn-ea"/>
              <a:cs typeface="+mn-cs"/>
            </a:rPr>
            <a:t>all </a:t>
          </a:r>
          <a:r>
            <a:rPr lang="en-US" sz="1100" i="0" baseline="0">
              <a:solidFill>
                <a:schemeClr val="dk1"/>
              </a:solidFill>
              <a:effectLst/>
              <a:latin typeface="+mn-lt"/>
              <a:ea typeface="+mn-ea"/>
              <a:cs typeface="+mn-cs"/>
            </a:rPr>
            <a:t>customers, whether they're allowed to enter the system or not. Instead, the appropriate lambda is the entering rate in cell B17. This is the arrival rate in cell B5 times the fraction of customers who are allowed to enter.</a:t>
          </a:r>
          <a:endParaRPr lang="en-US">
            <a:effectLst/>
          </a:endParaRPr>
        </a:p>
        <a:p>
          <a:pPr marL="0" marR="0" indent="0" defTabSz="914400" rtl="0" eaLnBrk="1" fontAlgn="auto" latinLnBrk="0" hangingPunct="1">
            <a:lnSpc>
              <a:spcPct val="100000"/>
            </a:lnSpc>
            <a:spcBef>
              <a:spcPts val="0"/>
            </a:spcBef>
            <a:spcAft>
              <a:spcPts val="0"/>
            </a:spcAft>
            <a:buClrTx/>
            <a:buSzTx/>
            <a:buFontTx/>
            <a:buNone/>
            <a:tabLst/>
            <a:defRPr/>
          </a:pPr>
          <a:endParaRPr lang="en-US"/>
        </a:p>
      </xdr:txBody>
    </xdr:sp>
    <xdr:clientData/>
  </xdr:twoCellAnchor>
  <mc:AlternateContent xmlns:mc="http://schemas.openxmlformats.org/markup-compatibility/2006">
    <mc:Choice xmlns:a14="http://schemas.microsoft.com/office/drawing/2010/main" Requires="a14">
      <xdr:twoCellAnchor>
        <xdr:from>
          <xdr:col>3</xdr:col>
          <xdr:colOff>619125</xdr:colOff>
          <xdr:row>2</xdr:row>
          <xdr:rowOff>180975</xdr:rowOff>
        </xdr:from>
        <xdr:to>
          <xdr:col>7</xdr:col>
          <xdr:colOff>219075</xdr:colOff>
          <xdr:row>5</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steady-state quantities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J24"/>
  <sheetViews>
    <sheetView tabSelected="1" workbookViewId="0"/>
  </sheetViews>
  <sheetFormatPr defaultRowHeight="15" x14ac:dyDescent="0.25"/>
  <cols>
    <col min="1" max="1" width="34.28515625" style="2" customWidth="1"/>
    <col min="2" max="2" width="9.140625" style="2"/>
    <col min="3" max="3" width="17.140625" style="2" customWidth="1"/>
    <col min="4" max="4" width="10.5703125" style="2" customWidth="1"/>
    <col min="5" max="5" width="5.140625" style="2" customWidth="1"/>
    <col min="6" max="6" width="7.5703125" style="2" customWidth="1"/>
    <col min="7" max="7" width="9.140625" style="4"/>
    <col min="8" max="8" width="9.140625" style="12"/>
    <col min="9" max="10" width="9.140625" style="4"/>
    <col min="11" max="16384" width="9.140625" style="2"/>
  </cols>
  <sheetData>
    <row r="1" spans="1:10" x14ac:dyDescent="0.25">
      <c r="A1" s="1" t="s">
        <v>18</v>
      </c>
      <c r="E1" s="3"/>
      <c r="H1" s="2"/>
      <c r="I1" s="2"/>
      <c r="J1" s="2"/>
    </row>
    <row r="2" spans="1:10" x14ac:dyDescent="0.25">
      <c r="E2" s="5"/>
      <c r="H2" s="2"/>
      <c r="I2" s="2"/>
      <c r="J2" s="2"/>
    </row>
    <row r="3" spans="1:10" x14ac:dyDescent="0.25">
      <c r="A3" s="3" t="s">
        <v>0</v>
      </c>
      <c r="E3" s="5"/>
      <c r="H3" s="2"/>
      <c r="I3" s="2"/>
      <c r="J3" s="2"/>
    </row>
    <row r="4" spans="1:10" x14ac:dyDescent="0.25">
      <c r="A4" s="2" t="s">
        <v>1</v>
      </c>
      <c r="B4" s="6" t="s">
        <v>2</v>
      </c>
      <c r="H4" s="2"/>
      <c r="I4" s="2"/>
      <c r="J4" s="2"/>
    </row>
    <row r="5" spans="1:10" x14ac:dyDescent="0.25">
      <c r="A5" s="2" t="s">
        <v>3</v>
      </c>
      <c r="B5" s="7">
        <v>150</v>
      </c>
      <c r="C5" s="8" t="str">
        <f>"customers/"&amp;Unit</f>
        <v>customers/hour</v>
      </c>
      <c r="H5" s="2"/>
      <c r="I5" s="2"/>
      <c r="J5" s="2"/>
    </row>
    <row r="6" spans="1:10" x14ac:dyDescent="0.25">
      <c r="A6" s="2" t="s">
        <v>4</v>
      </c>
      <c r="B6" s="7">
        <v>30</v>
      </c>
      <c r="C6" s="8" t="str">
        <f>"customers/"&amp;Unit</f>
        <v>customers/hour</v>
      </c>
      <c r="H6" s="2"/>
      <c r="I6" s="2"/>
      <c r="J6" s="2"/>
    </row>
    <row r="7" spans="1:10" x14ac:dyDescent="0.25">
      <c r="A7" s="2" t="s">
        <v>5</v>
      </c>
      <c r="B7" s="7">
        <v>6</v>
      </c>
      <c r="C7" s="8"/>
      <c r="H7" s="2"/>
      <c r="I7" s="2"/>
      <c r="J7" s="2"/>
    </row>
    <row r="8" spans="1:10" x14ac:dyDescent="0.25">
      <c r="A8" s="5" t="s">
        <v>6</v>
      </c>
      <c r="B8" s="7">
        <v>10</v>
      </c>
      <c r="C8" s="8" t="s">
        <v>7</v>
      </c>
      <c r="H8" s="2"/>
      <c r="I8" s="2"/>
      <c r="J8" s="2"/>
    </row>
    <row r="9" spans="1:10" x14ac:dyDescent="0.25">
      <c r="A9" s="9" t="s">
        <v>19</v>
      </c>
      <c r="B9" s="10">
        <f>MaxCusts-NumServ</f>
        <v>4</v>
      </c>
      <c r="C9" s="8" t="s">
        <v>7</v>
      </c>
      <c r="H9" s="2"/>
      <c r="I9" s="2"/>
      <c r="J9" s="2"/>
    </row>
    <row r="10" spans="1:10" x14ac:dyDescent="0.25">
      <c r="C10" s="8"/>
      <c r="H10" s="2"/>
      <c r="I10" s="2"/>
      <c r="J10" s="2"/>
    </row>
    <row r="11" spans="1:10" x14ac:dyDescent="0.25">
      <c r="A11" s="3" t="s">
        <v>8</v>
      </c>
      <c r="C11" s="8"/>
      <c r="E11" s="3" t="s">
        <v>9</v>
      </c>
      <c r="H11" s="2"/>
      <c r="I11" s="2"/>
      <c r="J11" s="2"/>
    </row>
    <row r="12" spans="1:10" ht="18" x14ac:dyDescent="0.35">
      <c r="A12" s="3" t="s">
        <v>10</v>
      </c>
      <c r="E12" s="8" t="s">
        <v>11</v>
      </c>
      <c r="F12" s="11" t="s">
        <v>20</v>
      </c>
      <c r="G12" s="2"/>
      <c r="H12" s="8"/>
      <c r="I12" s="8"/>
      <c r="J12" s="2"/>
    </row>
    <row r="13" spans="1:10" x14ac:dyDescent="0.25">
      <c r="A13" s="2" t="s">
        <v>12</v>
      </c>
      <c r="B13" s="12">
        <f>SUMPRODUCT(NumSys,Probs)</f>
        <v>5.4455819304363464</v>
      </c>
      <c r="C13" s="8" t="s">
        <v>7</v>
      </c>
      <c r="E13" s="2">
        <v>0</v>
      </c>
      <c r="F13" s="4">
        <v>5.9067725414963081E-3</v>
      </c>
      <c r="G13" s="2"/>
      <c r="J13" s="2"/>
    </row>
    <row r="14" spans="1:10" x14ac:dyDescent="0.25">
      <c r="A14" s="2" t="s">
        <v>13</v>
      </c>
      <c r="B14" s="12">
        <f>EnterRate*Wq</f>
        <v>0.75467039494546606</v>
      </c>
      <c r="C14" s="8" t="s">
        <v>7</v>
      </c>
      <c r="E14" s="2">
        <v>1</v>
      </c>
      <c r="F14" s="4">
        <v>2.953386270748154E-2</v>
      </c>
      <c r="G14" s="2"/>
      <c r="J14" s="2"/>
    </row>
    <row r="15" spans="1:10" x14ac:dyDescent="0.25">
      <c r="A15" s="2" t="s">
        <v>14</v>
      </c>
      <c r="B15" s="12">
        <f>L/EnterRate</f>
        <v>3.8695975464013189E-2</v>
      </c>
      <c r="C15" s="8" t="str">
        <f>Unit&amp;"s"</f>
        <v>hours</v>
      </c>
      <c r="E15" s="2">
        <v>2</v>
      </c>
      <c r="F15" s="4">
        <v>7.3834656768703849E-2</v>
      </c>
      <c r="G15" s="2"/>
      <c r="J15" s="2"/>
    </row>
    <row r="16" spans="1:10" x14ac:dyDescent="0.25">
      <c r="A16" s="2" t="s">
        <v>15</v>
      </c>
      <c r="B16" s="12">
        <f>W-1/Mu</f>
        <v>5.3626421306798566E-3</v>
      </c>
      <c r="C16" s="8" t="str">
        <f>Unit&amp;"s"</f>
        <v>hours</v>
      </c>
      <c r="E16" s="2">
        <v>3</v>
      </c>
      <c r="F16" s="4">
        <v>0.12305776128117307</v>
      </c>
      <c r="G16" s="2"/>
      <c r="J16" s="2"/>
    </row>
    <row r="17" spans="1:10" x14ac:dyDescent="0.25">
      <c r="A17" s="2" t="s">
        <v>16</v>
      </c>
      <c r="B17" s="12">
        <f>Lam*(1-PFull)</f>
        <v>140.72734606472642</v>
      </c>
      <c r="C17" s="8" t="str">
        <f>"customers/"&amp;Unit</f>
        <v>customers/hour</v>
      </c>
      <c r="E17" s="2">
        <v>4</v>
      </c>
      <c r="F17" s="4">
        <v>0.15382220160146634</v>
      </c>
      <c r="G17" s="2"/>
      <c r="J17" s="2"/>
    </row>
    <row r="18" spans="1:10" x14ac:dyDescent="0.25">
      <c r="A18" s="5" t="s">
        <v>17</v>
      </c>
      <c r="B18" s="13">
        <f>SUM(NoWaitStates)</f>
        <v>0.53997745650178741</v>
      </c>
      <c r="E18" s="2">
        <v>5</v>
      </c>
      <c r="F18" s="4">
        <v>0.15382220160146634</v>
      </c>
      <c r="G18" s="2"/>
      <c r="J18" s="2"/>
    </row>
    <row r="19" spans="1:10" x14ac:dyDescent="0.25">
      <c r="E19" s="2">
        <v>6</v>
      </c>
      <c r="F19" s="4">
        <v>0.12818516800122196</v>
      </c>
      <c r="G19" s="2"/>
      <c r="J19" s="2"/>
    </row>
    <row r="20" spans="1:10" x14ac:dyDescent="0.25">
      <c r="E20" s="2">
        <v>7</v>
      </c>
      <c r="F20" s="4">
        <v>0.10682097333435162</v>
      </c>
      <c r="G20" s="2"/>
      <c r="J20" s="2"/>
    </row>
    <row r="21" spans="1:10" x14ac:dyDescent="0.25">
      <c r="E21" s="2">
        <v>8</v>
      </c>
      <c r="F21" s="4">
        <v>8.9017477778626355E-2</v>
      </c>
      <c r="G21" s="2"/>
      <c r="J21" s="2"/>
    </row>
    <row r="22" spans="1:10" x14ac:dyDescent="0.25">
      <c r="E22" s="2">
        <v>9</v>
      </c>
      <c r="F22" s="4">
        <v>7.4181231482188623E-2</v>
      </c>
      <c r="G22" s="2"/>
      <c r="J22" s="2"/>
    </row>
    <row r="23" spans="1:10" x14ac:dyDescent="0.25">
      <c r="E23" s="2">
        <v>10</v>
      </c>
      <c r="F23" s="4">
        <v>6.1817692901823852E-2</v>
      </c>
      <c r="G23" s="2"/>
      <c r="J23" s="2"/>
    </row>
    <row r="24" spans="1:10" x14ac:dyDescent="0.25">
      <c r="J24" s="2"/>
    </row>
  </sheetData>
  <phoneticPr fontId="0" type="noConversion"/>
  <printOptions horizontalCentered="1" verticalCentered="1" headings="1" gridLines="1" gridLinesSet="0"/>
  <pageMargins left="0.75" right="0.75" top="1" bottom="1" header="0.5" footer="0.5"/>
  <pageSetup scale="82" orientation="portrait" horizontalDpi="240" verticalDpi="14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Line="0" autoPict="0" macro="[0]!Calc">
                <anchor moveWithCells="1" sizeWithCells="1">
                  <from>
                    <xdr:col>3</xdr:col>
                    <xdr:colOff>619125</xdr:colOff>
                    <xdr:row>2</xdr:row>
                    <xdr:rowOff>180975</xdr:rowOff>
                  </from>
                  <to>
                    <xdr:col>7</xdr:col>
                    <xdr:colOff>219075</xdr:colOff>
                    <xdr:row>5</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Model</vt:lpstr>
      <vt:lpstr>EnterRate</vt:lpstr>
      <vt:lpstr>L</vt:lpstr>
      <vt:lpstr>Lam</vt:lpstr>
      <vt:lpstr>Lq</vt:lpstr>
      <vt:lpstr>MaxCusts</vt:lpstr>
      <vt:lpstr>Mu</vt:lpstr>
      <vt:lpstr>NoWaitStates</vt:lpstr>
      <vt:lpstr>NumServ</vt:lpstr>
      <vt:lpstr>NumSys</vt:lpstr>
      <vt:lpstr>PEnter</vt:lpstr>
      <vt:lpstr>PFull</vt:lpstr>
      <vt:lpstr>PNoWait</vt:lpstr>
      <vt:lpstr>Probs</vt:lpstr>
      <vt:lpstr>Unit</vt:lpstr>
      <vt:lpstr>W</vt:lpstr>
      <vt:lpstr>work</vt:lpstr>
      <vt:lpstr>Wq</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Chris Albright</cp:lastModifiedBy>
  <dcterms:created xsi:type="dcterms:W3CDTF">1999-10-13T20:02:33Z</dcterms:created>
  <dcterms:modified xsi:type="dcterms:W3CDTF">2014-02-11T21:02:40Z</dcterms:modified>
</cp:coreProperties>
</file>