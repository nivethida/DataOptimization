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3" codeName="{801CCD77-7B78-1753-DF39-40050F3742D7}"/>
  <workbookPr codeName="ThisWorkbook"/>
  <mc:AlternateContent xmlns:mc="http://schemas.openxmlformats.org/markup-compatibility/2006">
    <mc:Choice Requires="x15">
      <x15ac:absPath xmlns:x15ac="http://schemas.microsoft.com/office/spreadsheetml/2010/11/ac" url="/Users/nivethida/Documents/Summer Session/Data Optimization/Queing model/"/>
    </mc:Choice>
  </mc:AlternateContent>
  <xr:revisionPtr revIDLastSave="0" documentId="13_ncr:1_{BB5AE478-C673-4142-A319-C430D4933F78}" xr6:coauthVersionLast="45" xr6:coauthVersionMax="45" xr10:uidLastSave="{00000000-0000-0000-0000-000000000000}"/>
  <bookViews>
    <workbookView xWindow="6780" yWindow="460" windowWidth="23620" windowHeight="15920" xr2:uid="{00000000-000D-0000-FFFF-FFFF00000000}"/>
  </bookViews>
  <sheets>
    <sheet name="Example Background" sheetId="3" r:id="rId1"/>
    <sheet name="Model" sheetId="1" r:id="rId2"/>
    <sheet name="Module1" sheetId="2" state="veryHidden" r:id=""/>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DemoMode" hidden="1">FALSE</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rrive_rate">Model!$B$5</definedName>
    <definedName name="Econ_Analysis">Model!$F$9</definedName>
    <definedName name="Min_servers">Model!$F$7</definedName>
    <definedName name="N_Servers">Model!$B$7</definedName>
    <definedName name="Number_in_queue">Model!$B$19</definedName>
    <definedName name="Prob_AllBusy">Model!$B$17</definedName>
    <definedName name="Prob_Empty">Model!$B$16</definedName>
    <definedName name="Queue_time">Model!$B$21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3</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erve_rate">Model!$B$6</definedName>
    <definedName name="Serve_time">Model!$B$12</definedName>
    <definedName name="System_time">Model!$B$20</definedName>
    <definedName name="Traffic_Intensity">Model!$B$13</definedName>
    <definedName name="Wage_rate">Model!$F$4</definedName>
    <definedName name="Waiting_cost">Model!$F$5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2" i="1" l="1"/>
  <c r="I10" i="1"/>
  <c r="H12" i="1"/>
  <c r="H10" i="1"/>
  <c r="G12" i="1"/>
  <c r="G10" i="1"/>
  <c r="I13" i="1" l="1"/>
  <c r="H13" i="1"/>
  <c r="G13" i="1"/>
  <c r="E4" i="1"/>
  <c r="F12" i="1" l="1"/>
  <c r="B13" i="1"/>
  <c r="B17" i="1" s="1"/>
  <c r="B19" i="1" s="1"/>
  <c r="B12" i="1"/>
  <c r="B11" i="1"/>
  <c r="B30" i="1"/>
  <c r="A25" i="1"/>
  <c r="A29" i="1"/>
  <c r="B21" i="1" l="1"/>
  <c r="B20" i="1" s="1"/>
  <c r="B18" i="1" s="1"/>
  <c r="B26" i="1"/>
  <c r="B22" i="1"/>
  <c r="E13" i="1" l="1"/>
  <c r="E12" i="1"/>
  <c r="E11" i="1"/>
  <c r="E10" i="1"/>
  <c r="E5" i="1"/>
  <c r="F10" i="1"/>
  <c r="F7" i="1"/>
  <c r="C21" i="1" l="1"/>
  <c r="C20" i="1"/>
  <c r="C12" i="1"/>
  <c r="C11" i="1"/>
  <c r="C6" i="1"/>
  <c r="C5" i="1"/>
  <c r="B53" i="1" l="1"/>
  <c r="B45" i="1"/>
  <c r="B37" i="1"/>
  <c r="B36" i="1"/>
  <c r="B58" i="1"/>
  <c r="B32" i="1"/>
  <c r="B31" i="1"/>
  <c r="B60" i="1"/>
  <c r="B52" i="1"/>
  <c r="B44" i="1"/>
  <c r="B50" i="1"/>
  <c r="B34" i="1"/>
  <c r="B54" i="1"/>
  <c r="B59" i="1"/>
  <c r="B51" i="1"/>
  <c r="B43" i="1"/>
  <c r="B35" i="1"/>
  <c r="B42" i="1"/>
  <c r="B47" i="1"/>
  <c r="B46" i="1"/>
  <c r="B57" i="1"/>
  <c r="B49" i="1"/>
  <c r="B41" i="1"/>
  <c r="B33" i="1"/>
  <c r="B48" i="1"/>
  <c r="B40" i="1"/>
  <c r="B39" i="1"/>
  <c r="B56" i="1"/>
  <c r="B55" i="1"/>
  <c r="B38" i="1"/>
  <c r="F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albright</author>
  </authors>
  <commentList>
    <comment ref="A24" authorId="0" shapeId="0" xr:uid="{00000000-0006-0000-0000-000001000000}">
      <text>
        <r>
          <rPr>
            <b/>
            <sz val="8"/>
            <color indexed="81"/>
            <rFont val="Tahoma"/>
            <family val="2"/>
          </rPr>
          <t>Enter any time t in cell A26.</t>
        </r>
        <r>
          <rPr>
            <sz val="8"/>
            <color indexed="81"/>
            <rFont val="Tahoma"/>
            <family val="2"/>
          </rPr>
          <t xml:space="preserve">
</t>
        </r>
      </text>
    </comment>
    <comment ref="A28" authorId="0" shapeId="0" xr:uid="{00000000-0006-0000-0000-000002000000}">
      <text>
        <r>
          <rPr>
            <b/>
            <sz val="8"/>
            <color indexed="81"/>
            <rFont val="Tahoma"/>
            <family val="2"/>
          </rPr>
          <t>Copy down farther if you like</t>
        </r>
        <r>
          <rPr>
            <sz val="8"/>
            <color indexed="81"/>
            <rFont val="Tahoma"/>
            <family val="2"/>
          </rPr>
          <t xml:space="preserve">
</t>
        </r>
      </text>
    </comment>
  </commentList>
</comments>
</file>

<file path=xl/sharedStrings.xml><?xml version="1.0" encoding="utf-8"?>
<sst xmlns="http://schemas.openxmlformats.org/spreadsheetml/2006/main" count="29" uniqueCount="27">
  <si>
    <t>Inputs</t>
  </si>
  <si>
    <t>Unit of time</t>
  </si>
  <si>
    <t>hour</t>
  </si>
  <si>
    <t>Arrival rate</t>
  </si>
  <si>
    <t>Service rate per server</t>
  </si>
  <si>
    <t>Number of servers</t>
  </si>
  <si>
    <t>Outputs</t>
  </si>
  <si>
    <t>Direct outputs from inputs</t>
  </si>
  <si>
    <t>Mean time between arrivals</t>
  </si>
  <si>
    <t>Mean time per service</t>
  </si>
  <si>
    <t>Traffic intensity</t>
  </si>
  <si>
    <t>Summary measures</t>
  </si>
  <si>
    <t>Expected number in system</t>
  </si>
  <si>
    <t>customers</t>
  </si>
  <si>
    <t>Expected number in queue</t>
  </si>
  <si>
    <t>Expected time in system</t>
  </si>
  <si>
    <t>Expected time in queue</t>
  </si>
  <si>
    <t>Percentage who don't wait in queue</t>
  </si>
  <si>
    <t>Min servers (for steady state)</t>
  </si>
  <si>
    <t>M/M/s queue</t>
  </si>
  <si>
    <t>Distribution of number in system</t>
  </si>
  <si>
    <t>P(n in system)</t>
  </si>
  <si>
    <t>Distribution of time in queue</t>
  </si>
  <si>
    <t>P(wait &gt; t)</t>
  </si>
  <si>
    <t>Economic analysis</t>
  </si>
  <si>
    <t>Prob system empty</t>
  </si>
  <si>
    <t>Prob all servers busy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</si>
</sst>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
    <numFmt numFmtId="166" formatCode="0.0%"/>
    <numFmt numFmtId="167" formatCode="&quot;$&quot;#,##0.00"/>
  </numFmts>
  <fonts count="7">
    <font>
      <sz val="11"/>
      <name val="Calibri"/>
      <family val="2"/>
    </font>
    <font>
      <sz val="10"/>
      <name val="Arial"/>
      <family val="2"/>
    </font>
    <font>
      <sz val="8"/>
      <color indexed="81"/>
      <name val="Tahoma"/>
      <family val="2"/>
    </font>
    <font>
      <b/>
      <sz val="8"/>
      <color indexed="81"/>
      <name val="Tahoma"/>
      <family val="2"/>
    </font>
    <font>
      <sz val="11"/>
      <name val="Calibri"/>
      <family val="2"/>
      <scheme val="minor"/>
    </font>
    <font>
      <b/>
      <sz val="1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5" fillId="0" borderId="0" xfId="0" quotePrefix="1" applyFont="1" applyAlignment="1">
      <alignment horizontal="left"/>
    </xf>
    <xf numFmtId="0" fontId="4" fillId="0" borderId="0" xfId="0" applyFont="1"/>
    <xf numFmtId="0" fontId="5" fillId="0" borderId="0" xfId="0" applyFont="1"/>
    <xf numFmtId="0" fontId="4" fillId="2" borderId="0" xfId="0" applyFont="1" applyFill="1" applyBorder="1" applyAlignment="1">
      <alignment horizontal="right"/>
    </xf>
    <xf numFmtId="0" fontId="4" fillId="2" borderId="0" xfId="0" applyFont="1" applyFill="1" applyBorder="1"/>
    <xf numFmtId="0" fontId="4" fillId="0" borderId="0" xfId="0" applyFont="1" applyAlignment="1">
      <alignment horizontal="right"/>
    </xf>
    <xf numFmtId="165" fontId="4" fillId="0" borderId="0" xfId="0" applyNumberFormat="1" applyFont="1"/>
    <xf numFmtId="164" fontId="4" fillId="0" borderId="0" xfId="0" applyNumberFormat="1" applyFont="1"/>
    <xf numFmtId="166" fontId="4" fillId="0" borderId="0" xfId="1" applyNumberFormat="1" applyFont="1"/>
    <xf numFmtId="0" fontId="4" fillId="0" borderId="0" xfId="0" quotePrefix="1" applyFont="1" applyAlignment="1">
      <alignment horizontal="left"/>
    </xf>
    <xf numFmtId="1" fontId="4" fillId="0" borderId="0" xfId="0" applyNumberFormat="1" applyFont="1"/>
    <xf numFmtId="167" fontId="4" fillId="0" borderId="0" xfId="0" applyNumberFormat="1" applyFont="1"/>
    <xf numFmtId="167" fontId="4" fillId="2" borderId="0" xfId="0" applyNumberFormat="1" applyFont="1" applyFill="1"/>
    <xf numFmtId="165" fontId="4" fillId="3" borderId="0" xfId="0" applyNumberFormat="1" applyFont="1" applyFill="1"/>
    <xf numFmtId="0" fontId="4" fillId="0" borderId="0" xfId="0" quotePrefix="1" applyFont="1"/>
  </cellXfs>
  <cellStyles count="2">
    <cellStyle name="Normal" xfId="0" builtinId="0" customBuiltin="1"/>
    <cellStyle name="Per 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2</xdr:col>
      <xdr:colOff>354330</xdr:colOff>
      <xdr:row>4</xdr:row>
      <xdr:rowOff>30480</xdr:rowOff>
    </xdr:from>
    <xdr:ext cx="7930569" cy="259686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34490" y="762000"/>
          <a:ext cx="7930569" cy="2596865"/>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0" i="0">
              <a:solidFill>
                <a:schemeClr val="tx1"/>
              </a:solidFill>
              <a:effectLst/>
              <a:latin typeface="+mn-lt"/>
              <a:ea typeface="+mn-ea"/>
              <a:cs typeface="+mn-cs"/>
            </a:rPr>
            <a:t>County Bank has several branch locations. At one of these locations, customers arrive </a:t>
          </a:r>
        </a:p>
        <a:p>
          <a:r>
            <a:rPr lang="en-US" sz="1600" b="0" i="0">
              <a:solidFill>
                <a:schemeClr val="tx1"/>
              </a:solidFill>
              <a:effectLst/>
              <a:latin typeface="+mn-lt"/>
              <a:ea typeface="+mn-ea"/>
              <a:cs typeface="+mn-cs"/>
            </a:rPr>
            <a:t>at a Poisson rate of 150 per hour. The branch employs six tellers. Each teller takes, </a:t>
          </a:r>
        </a:p>
        <a:p>
          <a:r>
            <a:rPr lang="en-US" sz="1600" b="0" i="0">
              <a:solidFill>
                <a:schemeClr val="tx1"/>
              </a:solidFill>
              <a:effectLst/>
              <a:latin typeface="+mn-lt"/>
              <a:ea typeface="+mn-ea"/>
              <a:cs typeface="+mn-cs"/>
            </a:rPr>
            <a:t>on </a:t>
          </a:r>
        </a:p>
        <a:p>
          <a:r>
            <a:rPr lang="en-US" sz="1600" b="0" i="0">
              <a:solidFill>
                <a:schemeClr val="tx1"/>
              </a:solidFill>
              <a:effectLst/>
              <a:latin typeface="+mn-lt"/>
              <a:ea typeface="+mn-ea"/>
              <a:cs typeface="+mn-cs"/>
            </a:rPr>
            <a:t>average, two minutes to serve a customer, and service times are exponentially distri- </a:t>
          </a:r>
        </a:p>
        <a:p>
          <a:r>
            <a:rPr lang="en-US" sz="1600" b="0" i="0">
              <a:solidFill>
                <a:schemeClr val="tx1"/>
              </a:solidFill>
              <a:effectLst/>
              <a:latin typeface="+mn-lt"/>
              <a:ea typeface="+mn-ea"/>
              <a:cs typeface="+mn-cs"/>
            </a:rPr>
            <a:t>buted. Also, all tellers perform all tasks, so that customers can go to any of the six tellers. </a:t>
          </a:r>
        </a:p>
        <a:p>
          <a:r>
            <a:rPr lang="en-US" sz="1600" b="0" i="0">
              <a:solidFill>
                <a:schemeClr val="tx1"/>
              </a:solidFill>
              <a:effectLst/>
              <a:latin typeface="+mn-lt"/>
              <a:ea typeface="+mn-ea"/>
              <a:cs typeface="+mn-cs"/>
            </a:rPr>
            <a:t>Customers who arrive and find all six tellers busy join a single queue and are then served </a:t>
          </a:r>
        </a:p>
        <a:p>
          <a:r>
            <a:rPr lang="en-US" sz="1600" b="0" i="0">
              <a:solidFill>
                <a:schemeClr val="tx1"/>
              </a:solidFill>
              <a:effectLst/>
              <a:latin typeface="+mn-lt"/>
              <a:ea typeface="+mn-ea"/>
              <a:cs typeface="+mn-cs"/>
            </a:rPr>
            <a:t>in FCFS fashion. As a first step, the bank manager wants to develop a queueing model of </a:t>
          </a:r>
        </a:p>
        <a:p>
          <a:r>
            <a:rPr lang="en-US" sz="1600" b="0" i="0">
              <a:solidFill>
                <a:schemeClr val="tx1"/>
              </a:solidFill>
              <a:effectLst/>
              <a:latin typeface="+mn-lt"/>
              <a:ea typeface="+mn-ea"/>
              <a:cs typeface="+mn-cs"/>
            </a:rPr>
            <a:t>the current system. Then he wants to find the “best” number of tellers, given that tellers are </a:t>
          </a:r>
        </a:p>
        <a:p>
          <a:r>
            <a:rPr lang="en-US" sz="1600" b="0" i="0">
              <a:solidFill>
                <a:schemeClr val="tx1"/>
              </a:solidFill>
              <a:effectLst/>
              <a:latin typeface="+mn-lt"/>
              <a:ea typeface="+mn-ea"/>
              <a:cs typeface="+mn-cs"/>
            </a:rPr>
            <a:t>paid $12 per hour.</a:t>
          </a:r>
        </a:p>
        <a:p>
          <a:endParaRPr lang="en-US"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14</xdr:row>
          <xdr:rowOff>63500</xdr:rowOff>
        </xdr:from>
        <xdr:to>
          <xdr:col>3</xdr:col>
          <xdr:colOff>1676400</xdr:colOff>
          <xdr:row>16</xdr:row>
          <xdr:rowOff>165100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Calculate steady-state quantities</a:t>
              </a:r>
            </a:p>
          </xdr:txBody>
        </xdr:sp>
        <xdr:clientData/>
      </xdr:twoCellAnchor>
    </mc:Choice>
    <mc:Fallback/>
  </mc:AlternateContent>
  <xdr:twoCellAnchor>
    <xdr:from>
      <xdr:col>3</xdr:col>
      <xdr:colOff>628650</xdr:colOff>
      <xdr:row>18</xdr:row>
      <xdr:rowOff>161925</xdr:rowOff>
    </xdr:from>
    <xdr:to>
      <xdr:col>7</xdr:col>
      <xdr:colOff>323850</xdr:colOff>
      <xdr:row>35</xdr:row>
      <xdr:rowOff>104775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905375" y="3590925"/>
          <a:ext cx="4876800" cy="3181350"/>
        </a:xfrm>
        <a:prstGeom prst="roundRect">
          <a:avLst/>
        </a:prstGeom>
        <a:solidFill>
          <a:schemeClr val="bg1">
            <a:lumMod val="85000"/>
          </a:schemeClr>
        </a:solidFill>
        <a:ln w="12700">
          <a:solidFill>
            <a:schemeClr val="bg1">
              <a:lumMod val="75000"/>
            </a:schemeClr>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overflow" horzOverflow="overflow" vert="horz" rtlCol="0" anchor="t"/>
        <a:lstStyle/>
        <a:p>
          <a:r>
            <a:rPr lang="en-US" sz="1100" b="1" i="0" baseline="0">
              <a:solidFill>
                <a:srgbClr val="000000"/>
              </a:solidFill>
              <a:effectLst/>
              <a:latin typeface="+mn-lt"/>
              <a:ea typeface="+mn-ea"/>
              <a:cs typeface="+mn-cs"/>
            </a:rPr>
            <a:t>Economic Analysis</a:t>
          </a:r>
        </a:p>
        <a:p>
          <a:endParaRPr lang="en-US" sz="1100" b="1"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Besides calculating the steady-state quantities for a fixed number of servers, you can also perform an economic analysis, using the inputs in all of the blue cells. The objective is to find the number of servers that minimizes the expected total cost, which is the sum of the wage cost and the expected waiting cost. To perform this analysis, click the "Perform economic analysis" button to run another macro. It does the following. </a:t>
          </a:r>
        </a:p>
        <a:p>
          <a:endParaRPr lang="en-US" sz="1100" b="0"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Starting with the minimum number of servers necessary to achieve steady state, this macro keeps increasing the number of servers until the expected total cost in row 13 stops decreasing and starts increasing.  For example, if the expected total cost decreases as the number of servers increases from 6 to 7, but then increases as the number of servers increases from 7 to 8, the lowest expected total cost is achieved with 7 servers.</a:t>
          </a:r>
        </a:p>
        <a:p>
          <a:endParaRPr lang="en-US" sz="1100" b="0" i="0" baseline="0">
            <a:solidFill>
              <a:srgbClr val="000000"/>
            </a:solidFill>
            <a:effectLst/>
            <a:latin typeface="+mn-lt"/>
            <a:ea typeface="+mn-ea"/>
            <a:cs typeface="+mn-cs"/>
          </a:endParaRPr>
        </a:p>
        <a:p>
          <a:endParaRPr lang="en-US" sz="1100" b="0" i="0" baseline="0">
            <a:solidFill>
              <a:srgbClr val="000000"/>
            </a:solidFill>
            <a:effectLst/>
            <a:latin typeface="+mn-lt"/>
            <a:ea typeface="+mn-ea"/>
            <a:cs typeface="+mn-cs"/>
          </a:endParaRPr>
        </a:p>
        <a:p>
          <a:endParaRPr lang="en-US" sz="1100" b="0" i="0" baseline="0">
            <a:solidFill>
              <a:srgbClr val="000000"/>
            </a:solidFill>
            <a:effectLst/>
            <a:latin typeface="+mn-lt"/>
            <a:ea typeface="+mn-ea"/>
            <a:cs typeface="+mn-cs"/>
          </a:endParaRPr>
        </a:p>
        <a:p>
          <a:endParaRPr lang="en-US" sz="1100" b="0" i="0" baseline="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4</xdr:col>
          <xdr:colOff>114300</xdr:colOff>
          <xdr:row>14</xdr:row>
          <xdr:rowOff>63500</xdr:rowOff>
        </xdr:from>
        <xdr:to>
          <xdr:col>4</xdr:col>
          <xdr:colOff>1651000</xdr:colOff>
          <xdr:row>16</xdr:row>
          <xdr:rowOff>165100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Perform economic analysis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A8F2-A09E-4080-851C-DF19F875A588}">
  <dimension ref="A1"/>
  <sheetViews>
    <sheetView tabSelected="1" workbookViewId="0">
      <selection activeCell="S14" sqref="S14"/>
    </sheetView>
  </sheetViews>
  <sheetFormatPr baseColWidth="10" defaultColWidth="8.83203125"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60"/>
  <sheetViews>
    <sheetView workbookViewId="0">
      <selection activeCell="B11" sqref="B11"/>
    </sheetView>
  </sheetViews>
  <sheetFormatPr baseColWidth="10" defaultColWidth="9.1640625" defaultRowHeight="15"/>
  <cols>
    <col min="1" max="1" width="33.5" style="2" customWidth="1"/>
    <col min="2" max="2" width="13.6640625" style="2" bestFit="1" customWidth="1"/>
    <col min="3" max="3" width="16.83203125" style="2" customWidth="1"/>
    <col min="4" max="4" width="26.83203125" style="2" customWidth="1"/>
    <col min="5" max="5" width="32.5" style="2" bestFit="1" customWidth="1"/>
    <col min="6" max="9" width="9.1640625" style="2" customWidth="1"/>
    <col min="10" max="16384" width="9.1640625" style="2"/>
  </cols>
  <sheetData>
    <row r="1" spans="1:17" ht="15" customHeight="1">
      <c r="A1" s="1" t="s">
        <v>19</v>
      </c>
      <c r="E1" s="3"/>
    </row>
    <row r="2" spans="1:17" ht="15" customHeight="1"/>
    <row r="3" spans="1:17" ht="15" customHeight="1">
      <c r="A3" s="3" t="s">
        <v>0</v>
      </c>
      <c r="E3" s="3" t="s">
        <v>24</v>
      </c>
    </row>
    <row r="4" spans="1:17" ht="15" customHeight="1">
      <c r="A4" s="2" t="s">
        <v>1</v>
      </c>
      <c r="B4" s="4" t="s">
        <v>2</v>
      </c>
      <c r="E4" s="2" t="str">
        <f>"Wage rate per server per " &amp; B4</f>
        <v>Wage rate per server per hour</v>
      </c>
      <c r="F4" s="13">
        <v>12</v>
      </c>
      <c r="G4"/>
      <c r="H4"/>
      <c r="I4"/>
    </row>
    <row r="5" spans="1:17" ht="15" customHeight="1">
      <c r="A5" s="2" t="s">
        <v>3</v>
      </c>
      <c r="B5" s="5">
        <v>20</v>
      </c>
      <c r="C5" s="6" t="str">
        <f>"customers/"&amp;$B$4</f>
        <v>customers/hour</v>
      </c>
      <c r="D5" s="6"/>
      <c r="E5" s="15" t="str">
        <f>"Cost per customer-" &amp; B4 &amp;  " waiting"</f>
        <v>Cost per customer-hour waiting</v>
      </c>
      <c r="F5" s="13">
        <v>50</v>
      </c>
    </row>
    <row r="6" spans="1:17" ht="15" customHeight="1">
      <c r="A6" s="2" t="s">
        <v>4</v>
      </c>
      <c r="B6" s="5">
        <v>25</v>
      </c>
      <c r="C6" s="6" t="str">
        <f>"customers/"&amp;$B$4</f>
        <v>customers/hour</v>
      </c>
      <c r="D6" s="6"/>
    </row>
    <row r="7" spans="1:17" ht="15" customHeight="1">
      <c r="A7" s="2" t="s">
        <v>5</v>
      </c>
      <c r="B7" s="5">
        <v>8</v>
      </c>
      <c r="C7" s="6"/>
      <c r="D7" s="6"/>
      <c r="E7" s="2" t="s">
        <v>18</v>
      </c>
      <c r="F7" s="2">
        <f>INT(Arrive_rate/Serve_rate)+1</f>
        <v>1</v>
      </c>
    </row>
    <row r="8" spans="1:17" ht="15" customHeight="1"/>
    <row r="9" spans="1:17" ht="15" customHeight="1">
      <c r="A9" s="3" t="s">
        <v>6</v>
      </c>
      <c r="E9" s="2" t="s">
        <v>5</v>
      </c>
      <c r="F9" s="11">
        <v>6</v>
      </c>
      <c r="G9" s="2">
        <v>7</v>
      </c>
      <c r="H9" s="2">
        <v>8</v>
      </c>
      <c r="I9" s="2">
        <v>9</v>
      </c>
    </row>
    <row r="10" spans="1:17" ht="15" customHeight="1">
      <c r="A10" s="3" t="s">
        <v>7</v>
      </c>
      <c r="E10" s="2" t="str">
        <f>"Wage cost per " &amp; B4</f>
        <v>Wage cost per hour</v>
      </c>
      <c r="F10" s="12">
        <f>Wage_rate*F9</f>
        <v>72</v>
      </c>
      <c r="G10" s="12">
        <f>Wage_rate*G9</f>
        <v>84</v>
      </c>
      <c r="H10" s="12">
        <f>Wage_rate*H9</f>
        <v>96</v>
      </c>
      <c r="I10" s="12">
        <f>Wage_rate*I9</f>
        <v>108</v>
      </c>
    </row>
    <row r="11" spans="1:17" ht="15" customHeight="1">
      <c r="A11" s="2" t="s">
        <v>8</v>
      </c>
      <c r="B11" s="7">
        <f>1/Arrive_rate</f>
        <v>0.05</v>
      </c>
      <c r="C11" s="6" t="str">
        <f>$B$4&amp;"s"</f>
        <v>hours</v>
      </c>
      <c r="D11" s="6"/>
      <c r="E11" s="2" t="str">
        <f>"Expected time in queue (" &amp; B4 &amp; "s)"</f>
        <v>Expected time in queue (hours)</v>
      </c>
      <c r="F11" s="7">
        <v>1.95838853882058E-2</v>
      </c>
      <c r="G11" s="7">
        <v>5.402498404479256E-3</v>
      </c>
      <c r="H11" s="7">
        <v>1.8585167406861851E-3</v>
      </c>
      <c r="I11" s="7">
        <v>6.7091937333122679E-4</v>
      </c>
      <c r="J11" s="7"/>
      <c r="K11" s="7"/>
      <c r="L11" s="7"/>
      <c r="M11" s="7"/>
      <c r="N11" s="7"/>
      <c r="O11" s="7"/>
      <c r="P11" s="7"/>
      <c r="Q11" s="7"/>
    </row>
    <row r="12" spans="1:17" ht="15" customHeight="1">
      <c r="A12" s="2" t="s">
        <v>9</v>
      </c>
      <c r="B12" s="7">
        <f>1/Serve_rate</f>
        <v>0.04</v>
      </c>
      <c r="C12" s="6" t="str">
        <f>$B$4&amp;"s"</f>
        <v>hours</v>
      </c>
      <c r="D12" s="6"/>
      <c r="E12" s="2" t="str">
        <f>"Waiting cost per " &amp; B4</f>
        <v>Waiting cost per hour</v>
      </c>
      <c r="F12" s="12">
        <f>Arrive_rate*Waiting_cost*F11</f>
        <v>19.5838853882058</v>
      </c>
      <c r="G12" s="12">
        <f>Arrive_rate*Waiting_cost*G11</f>
        <v>5.4024984044792559</v>
      </c>
      <c r="H12" s="12">
        <f>Arrive_rate*Waiting_cost*H11</f>
        <v>1.8585167406861851</v>
      </c>
      <c r="I12" s="12">
        <f>Arrive_rate*Waiting_cost*I11</f>
        <v>0.67091937333122675</v>
      </c>
    </row>
    <row r="13" spans="1:17" ht="15" customHeight="1">
      <c r="A13" s="2" t="s">
        <v>10</v>
      </c>
      <c r="B13" s="7">
        <f>Arrive_rate/(N_Servers*Serve_rate)</f>
        <v>0.1</v>
      </c>
      <c r="D13" s="6"/>
      <c r="E13" s="2" t="str">
        <f>"Expected total cost per " &amp; B4</f>
        <v>Expected total cost per hour</v>
      </c>
      <c r="F13" s="12">
        <f>F10+F12</f>
        <v>91.5838853882058</v>
      </c>
      <c r="G13" s="12">
        <f>G10+G12</f>
        <v>89.40249840447926</v>
      </c>
      <c r="H13" s="12">
        <f>H10+H12</f>
        <v>97.858516740686184</v>
      </c>
      <c r="I13" s="12">
        <f>I10+I12</f>
        <v>108.67091937333123</v>
      </c>
    </row>
    <row r="14" spans="1:17" ht="15" customHeight="1">
      <c r="G14" s="12"/>
      <c r="H14" s="12"/>
      <c r="I14" s="12"/>
    </row>
    <row r="15" spans="1:17" ht="15" customHeight="1">
      <c r="A15" s="3" t="s">
        <v>11</v>
      </c>
      <c r="B15" s="7"/>
    </row>
    <row r="16" spans="1:17" ht="15" customHeight="1">
      <c r="A16" s="2" t="s">
        <v>25</v>
      </c>
      <c r="B16" s="14">
        <v>0.4493289465313669</v>
      </c>
      <c r="D16" s="6"/>
    </row>
    <row r="17" spans="1:4" ht="15" customHeight="1">
      <c r="A17" s="2" t="s">
        <v>26</v>
      </c>
      <c r="B17" s="9">
        <f>(N_Servers*Traffic_Intensity)^N_Servers*Prob_Empty/(FACT(N_Servers)*(1-Traffic_Intensity))</f>
        <v>2.0774054208028E-6</v>
      </c>
      <c r="D17" s="6"/>
    </row>
    <row r="18" spans="1:4" ht="15" customHeight="1">
      <c r="A18" s="2" t="s">
        <v>12</v>
      </c>
      <c r="B18" s="7">
        <f>Arrive_rate*System_time</f>
        <v>0.80000023082282445</v>
      </c>
      <c r="C18" s="6" t="s">
        <v>13</v>
      </c>
      <c r="D18" s="6"/>
    </row>
    <row r="19" spans="1:4" ht="15" customHeight="1">
      <c r="A19" s="2" t="s">
        <v>14</v>
      </c>
      <c r="B19" s="7">
        <f>Prob_AllBusy*Traffic_Intensity/(1-Traffic_Intensity)</f>
        <v>2.3082282453364447E-7</v>
      </c>
      <c r="C19" s="6" t="s">
        <v>13</v>
      </c>
      <c r="D19" s="6"/>
    </row>
    <row r="20" spans="1:4" ht="15" customHeight="1">
      <c r="A20" s="2" t="s">
        <v>15</v>
      </c>
      <c r="B20" s="7">
        <f>Queue_time+Serve_time</f>
        <v>4.0000011541141224E-2</v>
      </c>
      <c r="C20" s="6" t="str">
        <f>$B$4&amp;"s"</f>
        <v>hours</v>
      </c>
      <c r="D20" s="6"/>
    </row>
    <row r="21" spans="1:4" ht="15" customHeight="1">
      <c r="A21" s="2" t="s">
        <v>16</v>
      </c>
      <c r="B21" s="7">
        <f>Number_in_queue/Arrive_rate</f>
        <v>1.1541141226682224E-8</v>
      </c>
      <c r="C21" s="6" t="str">
        <f>$B$4&amp;"s"</f>
        <v>hours</v>
      </c>
    </row>
    <row r="22" spans="1:4" ht="15" customHeight="1">
      <c r="A22" s="10" t="s">
        <v>17</v>
      </c>
      <c r="B22" s="9">
        <f>1-Prob_AllBusy</f>
        <v>0.9999979225945792</v>
      </c>
    </row>
    <row r="23" spans="1:4" ht="15" customHeight="1"/>
    <row r="24" spans="1:4" ht="15" customHeight="1">
      <c r="A24" s="3" t="s">
        <v>22</v>
      </c>
    </row>
    <row r="25" spans="1:4" ht="15" customHeight="1">
      <c r="A25" s="6" t="str">
        <f>"t (in "&amp; B4 &amp;"s)"</f>
        <v>t (in hours)</v>
      </c>
      <c r="B25" s="6" t="s">
        <v>23</v>
      </c>
    </row>
    <row r="26" spans="1:4" ht="15" customHeight="1">
      <c r="A26" s="7">
        <v>1.4999999999999999E-2</v>
      </c>
      <c r="B26" s="7">
        <f>Prob_AllBusy*EXP(-N_Servers*Serve_rate*(1-Traffic_Intensity)*A26)</f>
        <v>1.3961309647338784E-7</v>
      </c>
    </row>
    <row r="27" spans="1:4" ht="15" customHeight="1"/>
    <row r="28" spans="1:4" ht="15" customHeight="1">
      <c r="A28" s="3" t="s">
        <v>20</v>
      </c>
    </row>
    <row r="29" spans="1:4" ht="15" customHeight="1">
      <c r="A29" s="6" t="str">
        <f>"n (customers)"</f>
        <v>n (customers)</v>
      </c>
      <c r="B29" s="6" t="s">
        <v>21</v>
      </c>
    </row>
    <row r="30" spans="1:4" ht="15" customHeight="1">
      <c r="A30" s="2">
        <v>0</v>
      </c>
      <c r="B30" s="8">
        <f>Prob_Empty</f>
        <v>0.4493289465313669</v>
      </c>
    </row>
    <row r="31" spans="1:4" ht="15" customHeight="1">
      <c r="A31" s="2">
        <v>1</v>
      </c>
      <c r="B31" s="8">
        <f t="shared" ref="B31:B60" si="0">IF(A31&lt;=$B$7,($B$7*$B$13)^A31*$B$16/FACT(A31),($B$7*$B$13)^A31*$B$16/(FACT($B$7)*$B$7^(A31-$B$7)))</f>
        <v>0.35946315722509353</v>
      </c>
    </row>
    <row r="32" spans="1:4" ht="15" customHeight="1">
      <c r="A32" s="2">
        <v>2</v>
      </c>
      <c r="B32" s="8">
        <f t="shared" si="0"/>
        <v>0.14378526289003743</v>
      </c>
    </row>
    <row r="33" spans="1:6" ht="15" customHeight="1">
      <c r="A33" s="2">
        <v>3</v>
      </c>
      <c r="B33" s="8">
        <f t="shared" si="0"/>
        <v>3.834273677067665E-2</v>
      </c>
    </row>
    <row r="34" spans="1:6" ht="15" customHeight="1">
      <c r="A34" s="2">
        <v>4</v>
      </c>
      <c r="B34" s="8">
        <f t="shared" si="0"/>
        <v>7.6685473541353326E-3</v>
      </c>
    </row>
    <row r="35" spans="1:6" ht="15" customHeight="1">
      <c r="A35" s="2">
        <v>5</v>
      </c>
      <c r="B35" s="8">
        <f t="shared" si="0"/>
        <v>1.2269675766616534E-3</v>
      </c>
    </row>
    <row r="36" spans="1:6" ht="15" customHeight="1">
      <c r="A36" s="2">
        <v>6</v>
      </c>
      <c r="B36" s="8">
        <f t="shared" si="0"/>
        <v>1.6359567688822044E-4</v>
      </c>
    </row>
    <row r="37" spans="1:6" ht="15" customHeight="1">
      <c r="A37" s="2">
        <v>7</v>
      </c>
      <c r="B37" s="8">
        <f t="shared" si="0"/>
        <v>1.8696648787225195E-5</v>
      </c>
    </row>
    <row r="38" spans="1:6" ht="15" customHeight="1">
      <c r="A38" s="2">
        <v>8</v>
      </c>
      <c r="B38" s="8">
        <f t="shared" si="0"/>
        <v>1.8696648787225199E-6</v>
      </c>
    </row>
    <row r="39" spans="1:6" ht="15" customHeight="1">
      <c r="A39" s="2">
        <v>9</v>
      </c>
      <c r="B39" s="8">
        <f t="shared" si="0"/>
        <v>1.86966487872252E-7</v>
      </c>
    </row>
    <row r="40" spans="1:6" ht="15" customHeight="1">
      <c r="A40" s="2">
        <v>10</v>
      </c>
      <c r="B40" s="8">
        <f t="shared" si="0"/>
        <v>1.86966487872252E-8</v>
      </c>
    </row>
    <row r="41" spans="1:6" ht="15" customHeight="1">
      <c r="A41" s="2">
        <v>11</v>
      </c>
      <c r="B41" s="8">
        <f t="shared" si="0"/>
        <v>1.8696648787225202E-9</v>
      </c>
    </row>
    <row r="42" spans="1:6" ht="15" customHeight="1">
      <c r="A42" s="2">
        <v>12</v>
      </c>
      <c r="B42" s="8">
        <f t="shared" si="0"/>
        <v>1.8696648787225208E-10</v>
      </c>
    </row>
    <row r="43" spans="1:6" ht="15" customHeight="1">
      <c r="A43" s="2">
        <v>13</v>
      </c>
      <c r="B43" s="8">
        <f t="shared" si="0"/>
        <v>1.8696648787225208E-11</v>
      </c>
      <c r="F43" s="8"/>
    </row>
    <row r="44" spans="1:6" ht="15" customHeight="1">
      <c r="A44" s="2">
        <v>14</v>
      </c>
      <c r="B44" s="8">
        <f t="shared" si="0"/>
        <v>1.8696648787225211E-12</v>
      </c>
      <c r="F44" s="8"/>
    </row>
    <row r="45" spans="1:6" ht="15" customHeight="1">
      <c r="A45" s="2">
        <v>15</v>
      </c>
      <c r="B45" s="8">
        <f t="shared" si="0"/>
        <v>1.8696648787225215E-13</v>
      </c>
      <c r="F45" s="8"/>
    </row>
    <row r="46" spans="1:6">
      <c r="A46" s="2">
        <v>16</v>
      </c>
      <c r="B46" s="8">
        <f t="shared" si="0"/>
        <v>1.8696648787225214E-14</v>
      </c>
      <c r="F46" s="8"/>
    </row>
    <row r="47" spans="1:6">
      <c r="A47" s="2">
        <v>17</v>
      </c>
      <c r="B47" s="8">
        <f t="shared" si="0"/>
        <v>1.8696648787225214E-15</v>
      </c>
      <c r="F47" s="8"/>
    </row>
    <row r="48" spans="1:6">
      <c r="A48" s="2">
        <v>18</v>
      </c>
      <c r="B48" s="8">
        <f t="shared" si="0"/>
        <v>1.8696648787225215E-16</v>
      </c>
    </row>
    <row r="49" spans="1:6">
      <c r="A49" s="2">
        <v>19</v>
      </c>
      <c r="B49" s="8">
        <f t="shared" si="0"/>
        <v>1.8696648787225218E-17</v>
      </c>
      <c r="F49" s="8"/>
    </row>
    <row r="50" spans="1:6">
      <c r="A50" s="2">
        <v>20</v>
      </c>
      <c r="B50" s="8">
        <f t="shared" si="0"/>
        <v>1.8696648787225223E-18</v>
      </c>
    </row>
    <row r="51" spans="1:6">
      <c r="A51" s="2">
        <v>21</v>
      </c>
      <c r="B51" s="8">
        <f t="shared" si="0"/>
        <v>1.8696648787225226E-19</v>
      </c>
      <c r="F51" s="8"/>
    </row>
    <row r="52" spans="1:6">
      <c r="A52" s="2">
        <v>22</v>
      </c>
      <c r="B52" s="8">
        <f t="shared" si="0"/>
        <v>1.8696648787225225E-20</v>
      </c>
    </row>
    <row r="53" spans="1:6">
      <c r="A53" s="2">
        <v>23</v>
      </c>
      <c r="B53" s="8">
        <f t="shared" si="0"/>
        <v>1.8696648787225226E-21</v>
      </c>
    </row>
    <row r="54" spans="1:6">
      <c r="A54" s="2">
        <v>24</v>
      </c>
      <c r="B54" s="8">
        <f t="shared" si="0"/>
        <v>1.8696648787225229E-22</v>
      </c>
    </row>
    <row r="55" spans="1:6">
      <c r="A55" s="2">
        <v>25</v>
      </c>
      <c r="B55" s="8">
        <f t="shared" si="0"/>
        <v>1.869664878722523E-23</v>
      </c>
    </row>
    <row r="56" spans="1:6">
      <c r="A56" s="2">
        <v>26</v>
      </c>
      <c r="B56" s="8">
        <f t="shared" si="0"/>
        <v>1.8696648787225234E-24</v>
      </c>
    </row>
    <row r="57" spans="1:6">
      <c r="A57" s="2">
        <v>27</v>
      </c>
      <c r="B57" s="8">
        <f t="shared" si="0"/>
        <v>1.8696648787225231E-25</v>
      </c>
    </row>
    <row r="58" spans="1:6">
      <c r="A58" s="2">
        <v>28</v>
      </c>
      <c r="B58" s="8">
        <f t="shared" si="0"/>
        <v>1.8696648787225239E-26</v>
      </c>
    </row>
    <row r="59" spans="1:6">
      <c r="A59" s="2">
        <v>29</v>
      </c>
      <c r="B59" s="8">
        <f t="shared" si="0"/>
        <v>1.8696648787225242E-27</v>
      </c>
    </row>
    <row r="60" spans="1:6">
      <c r="A60" s="2">
        <v>30</v>
      </c>
      <c r="B60" s="8">
        <f t="shared" si="0"/>
        <v>1.8696648787225239E-28</v>
      </c>
    </row>
  </sheetData>
  <phoneticPr fontId="0" type="noConversion"/>
  <printOptions horizontalCentered="1" verticalCentered="1" headings="1" gridLines="1" gridLinesSet="0"/>
  <pageMargins left="0.75" right="0.75" top="1" bottom="1" header="0.5" footer="0.5"/>
  <pageSetup scale="31"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autoFill="0" autoLine="0" autoPict="0" macro="[0]!CalcSteadyState">
                <anchor moveWithCells="1" sizeWithCells="1">
                  <from>
                    <xdr:col>3</xdr:col>
                    <xdr:colOff>139700</xdr:colOff>
                    <xdr:row>14</xdr:row>
                    <xdr:rowOff>63500</xdr:rowOff>
                  </from>
                  <to>
                    <xdr:col>3</xdr:col>
                    <xdr:colOff>1676400</xdr:colOff>
                    <xdr:row>16</xdr:row>
                    <xdr:rowOff>165100</xdr:rowOff>
                  </to>
                </anchor>
              </controlPr>
            </control>
          </mc:Choice>
        </mc:AlternateContent>
        <mc:AlternateContent xmlns:mc="http://schemas.openxmlformats.org/markup-compatibility/2006">
          <mc:Choice Requires="x14">
            <control shapeId="1033" r:id="rId5" name="Button 9">
              <controlPr defaultSize="0" autoFill="0" autoLine="0" autoPict="0" macro="[0]!Economic_Analysis">
                <anchor moveWithCells="1" sizeWithCells="1">
                  <from>
                    <xdr:col>4</xdr:col>
                    <xdr:colOff>114300</xdr:colOff>
                    <xdr:row>14</xdr:row>
                    <xdr:rowOff>63500</xdr:rowOff>
                  </from>
                  <to>
                    <xdr:col>4</xdr:col>
                    <xdr:colOff>1651000</xdr:colOff>
                    <xdr:row>16</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Example Background</vt:lpstr>
      <vt:lpstr>Model</vt:lpstr>
      <vt:lpstr>Arrive_rate</vt:lpstr>
      <vt:lpstr>Econ_Analysis</vt:lpstr>
      <vt:lpstr>Min_servers</vt:lpstr>
      <vt:lpstr>N_Servers</vt:lpstr>
      <vt:lpstr>Number_in_queue</vt:lpstr>
      <vt:lpstr>Prob_AllBusy</vt:lpstr>
      <vt:lpstr>Prob_Empty</vt:lpstr>
      <vt:lpstr>Queue_time</vt:lpstr>
      <vt:lpstr>Serve_rate</vt:lpstr>
      <vt:lpstr>Serve_time</vt:lpstr>
      <vt:lpstr>System_time</vt:lpstr>
      <vt:lpstr>Traffic_Intensity</vt:lpstr>
      <vt:lpstr>Wage_rate</vt:lpstr>
      <vt:lpstr>Waiting_cost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Microsoft Office User</cp:lastModifiedBy>
  <cp:lastPrinted>2010-08-02T15:33:15Z</cp:lastPrinted>
  <dcterms:created xsi:type="dcterms:W3CDTF">1998-02-25T13:56:20Z</dcterms:created>
  <dcterms:modified xsi:type="dcterms:W3CDTF">2020-07-18T04:31:04Z</dcterms:modified>
</cp:coreProperties>
</file>