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4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Jia Guo\Cal State, East Bay\Teaching\BAN 630 - Optimization\Lecture Notes\Topic 7 - Queueing Models\"/>
    </mc:Choice>
  </mc:AlternateContent>
  <xr:revisionPtr revIDLastSave="0" documentId="13_ncr:1_{CC45F078-39C6-47E3-BA5F-1250DFD22133}" xr6:coauthVersionLast="36" xr6:coauthVersionMax="36" xr10:uidLastSave="{00000000-0000-0000-0000-000000000000}"/>
  <bookViews>
    <workbookView xWindow="0" yWindow="0" windowWidth="23040" windowHeight="9180" activeTab="1" xr2:uid="{00000000-000D-0000-FFFF-FFFF00000000}"/>
  </bookViews>
  <sheets>
    <sheet name="Example Background" sheetId="3" r:id="rId1"/>
    <sheet name="Model" sheetId="1" r:id="rId2"/>
    <sheet name="Module" sheetId="2" state="veryHidden" r:id="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EnterRate">Model!$B$13</definedName>
    <definedName name="L">Model!$B$14</definedName>
    <definedName name="Lam">Model!$B$5</definedName>
    <definedName name="Mu">Model!$B$6</definedName>
    <definedName name="NumServ">Model!$B$7</definedName>
    <definedName name="NumSys">Model!$E$12:$E$18</definedName>
    <definedName name="PLost">Model!$B$12</definedName>
    <definedName name="_xlnm.Print_Area" localSheetId="1">Model!$A$1:$I$28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3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Unit">Model!$B$4</definedName>
    <definedName name="W">Model!$B$15</definedName>
  </definedNames>
  <calcPr calcId="191029"/>
</workbook>
</file>

<file path=xl/calcChain.xml><?xml version="1.0" encoding="utf-8"?>
<calcChain xmlns="http://schemas.openxmlformats.org/spreadsheetml/2006/main">
  <c r="C12" i="1" l="1"/>
  <c r="B15" i="1" l="1"/>
  <c r="B13" i="1"/>
  <c r="B14" i="1" s="1"/>
  <c r="C13" i="1"/>
  <c r="C15" i="1"/>
  <c r="C6" i="1"/>
  <c r="C5" i="1"/>
</calcChain>
</file>

<file path=xl/sharedStrings.xml><?xml version="1.0" encoding="utf-8"?>
<sst xmlns="http://schemas.openxmlformats.org/spreadsheetml/2006/main" count="17" uniqueCount="17">
  <si>
    <t>Inputs</t>
  </si>
  <si>
    <t>Unit of time</t>
  </si>
  <si>
    <t>hour</t>
  </si>
  <si>
    <t>Arrival rate</t>
  </si>
  <si>
    <t>Service rate</t>
  </si>
  <si>
    <t>Outputs</t>
  </si>
  <si>
    <t>Summary measures</t>
  </si>
  <si>
    <t>Percentage of requests lost</t>
  </si>
  <si>
    <t>Entering arrival rate</t>
  </si>
  <si>
    <t>Expected number in system</t>
  </si>
  <si>
    <t>customers</t>
  </si>
  <si>
    <t>Expected time in system</t>
  </si>
  <si>
    <t>Erlang Loss Model</t>
  </si>
  <si>
    <t>Number of servers</t>
  </si>
  <si>
    <t>Steady-state probabilities</t>
  </si>
  <si>
    <t>n</t>
  </si>
  <si>
    <t>P(n)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</si>
</sst>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6" x14ac:knownFonts="1"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0" applyFont="1"/>
    <xf numFmtId="0" fontId="4" fillId="0" borderId="0" xfId="0" quotePrefix="1" applyFont="1" applyAlignment="1">
      <alignment horizontal="left"/>
    </xf>
    <xf numFmtId="0" fontId="4" fillId="0" borderId="0" xfId="0" applyFont="1" applyAlignment="1">
      <alignment horizontal="right"/>
    </xf>
    <xf numFmtId="0" fontId="3" fillId="0" borderId="0" xfId="0" applyFont="1" applyProtection="1">
      <protection hidden="1"/>
    </xf>
    <xf numFmtId="0" fontId="4" fillId="0" borderId="0" xfId="0" applyFont="1" applyProtection="1">
      <protection hidden="1"/>
    </xf>
    <xf numFmtId="0" fontId="4" fillId="0" borderId="0" xfId="0" applyFont="1" applyAlignment="1" applyProtection="1">
      <alignment horizontal="right"/>
      <protection hidden="1"/>
    </xf>
    <xf numFmtId="0" fontId="3" fillId="0" borderId="0" xfId="0" applyFont="1" applyAlignment="1" applyProtection="1">
      <alignment horizontal="left"/>
      <protection hidden="1"/>
    </xf>
    <xf numFmtId="165" fontId="4" fillId="0" borderId="0" xfId="0" applyNumberFormat="1" applyFont="1"/>
    <xf numFmtId="10" fontId="4" fillId="0" borderId="0" xfId="1" applyNumberFormat="1" applyFont="1"/>
    <xf numFmtId="165" fontId="4" fillId="0" borderId="0" xfId="0" applyNumberFormat="1" applyFont="1" applyAlignment="1" applyProtection="1">
      <alignment horizontal="right"/>
      <protection hidden="1"/>
    </xf>
    <xf numFmtId="164" fontId="4" fillId="0" borderId="0" xfId="0" applyNumberFormat="1" applyFont="1" applyProtection="1">
      <protection hidden="1"/>
    </xf>
    <xf numFmtId="165" fontId="4" fillId="0" borderId="0" xfId="0" applyNumberFormat="1" applyFont="1" applyProtection="1">
      <protection hidden="1"/>
    </xf>
    <xf numFmtId="164" fontId="4" fillId="0" borderId="0" xfId="0" applyNumberFormat="1" applyFont="1"/>
    <xf numFmtId="0" fontId="4" fillId="2" borderId="0" xfId="0" applyFont="1" applyFill="1" applyBorder="1" applyAlignment="1" applyProtection="1">
      <alignment horizontal="right"/>
      <protection locked="0"/>
    </xf>
    <xf numFmtId="0" fontId="4" fillId="2" borderId="0" xfId="0" applyFont="1" applyFill="1" applyBorder="1" applyProtection="1">
      <protection locked="0"/>
    </xf>
  </cellXfs>
  <cellStyles count="2">
    <cellStyle name="Normal" xfId="0" builtinId="0" customBuiltin="1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621030</xdr:colOff>
      <xdr:row>5</xdr:row>
      <xdr:rowOff>15240</xdr:rowOff>
    </xdr:from>
    <xdr:ext cx="7753148" cy="159505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4D91F75-A791-4FCD-BBC8-3A64C34106D7}"/>
            </a:ext>
          </a:extLst>
        </xdr:cNvPr>
        <xdr:cNvSpPr txBox="1"/>
      </xdr:nvSpPr>
      <xdr:spPr>
        <a:xfrm>
          <a:off x="1261110" y="929640"/>
          <a:ext cx="7753148" cy="1595052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Suppose that a fire department receives an average of 24 requests for fire engines each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hour and that these requests occur according to a Poisson process. Each request causes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 fire engine to be unavailable (providing service) for an average of 20 minutes. To have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at least a 99% chance of being able to respond to a request, how many fire engines should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fire department have?</a:t>
          </a:r>
        </a:p>
        <a:p>
          <a:endParaRPr lang="en-US" sz="16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428626</xdr:colOff>
      <xdr:row>1</xdr:row>
      <xdr:rowOff>104776</xdr:rowOff>
    </xdr:from>
    <xdr:to>
      <xdr:col>12</xdr:col>
      <xdr:colOff>66675</xdr:colOff>
      <xdr:row>5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210301" y="295276"/>
          <a:ext cx="2686049" cy="714374"/>
        </a:xfrm>
        <a:prstGeom prst="roundRect">
          <a:avLst/>
        </a:prstGeom>
        <a:solidFill>
          <a:schemeClr val="bg1">
            <a:shade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Directions:</a:t>
          </a:r>
        </a:p>
        <a:p>
          <a:r>
            <a:rPr lang="en-US" sz="1100"/>
            <a:t>1. Enter the inputs in cells B4 through B7.</a:t>
          </a:r>
        </a:p>
        <a:p>
          <a:r>
            <a:rPr lang="en-US" sz="1100"/>
            <a:t>2. Click</a:t>
          </a:r>
          <a:r>
            <a:rPr lang="en-US" sz="1100" baseline="0"/>
            <a:t> the button to the left</a:t>
          </a:r>
          <a:r>
            <a:rPr lang="en-US" sz="1100"/>
            <a:t>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182880</xdr:colOff>
          <xdr:row>2</xdr:row>
          <xdr:rowOff>125730</xdr:rowOff>
        </xdr:from>
        <xdr:to>
          <xdr:col>6</xdr:col>
          <xdr:colOff>449580</xdr:colOff>
          <xdr:row>5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steady-state quantities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276225</xdr:colOff>
      <xdr:row>7</xdr:row>
      <xdr:rowOff>19050</xdr:rowOff>
    </xdr:from>
    <xdr:to>
      <xdr:col>12</xdr:col>
      <xdr:colOff>466725</xdr:colOff>
      <xdr:row>16</xdr:row>
      <xdr:rowOff>19050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057900" y="1352550"/>
          <a:ext cx="3238500" cy="1714500"/>
        </a:xfrm>
        <a:prstGeom prst="roundRect">
          <a:avLst/>
        </a:prstGeom>
        <a:solidFill>
          <a:schemeClr val="bg1">
            <a:shade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The summary results here aren't as extensive as in the other templates, and that's because no one waits. Each customer either goes directly into service or is turned</a:t>
          </a:r>
          <a:r>
            <a:rPr lang="en-US" sz="1100" baseline="0"/>
            <a:t> away. So the output of most interest in this system is the one in cell B12: the percentage of customers turned away. Typically, we would find the number of servers required to make this percentage acceptably small.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5C838-922C-433F-9734-B275211C2BB3}">
  <dimension ref="A1"/>
  <sheetViews>
    <sheetView workbookViewId="0">
      <selection activeCell="H16" sqref="H16"/>
    </sheetView>
  </sheetViews>
  <sheetFormatPr defaultRowHeight="14.4" x14ac:dyDescent="0.55000000000000004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61"/>
  <sheetViews>
    <sheetView tabSelected="1" workbookViewId="0">
      <selection activeCell="B15" sqref="B15"/>
    </sheetView>
  </sheetViews>
  <sheetFormatPr defaultColWidth="9.15625" defaultRowHeight="14.4" x14ac:dyDescent="0.55000000000000004"/>
  <cols>
    <col min="1" max="1" width="29" style="2" customWidth="1"/>
    <col min="2" max="2" width="9.15625" style="2"/>
    <col min="3" max="3" width="17.15625" style="2" customWidth="1"/>
    <col min="4" max="4" width="4.41796875" style="2" customWidth="1"/>
    <col min="5" max="5" width="7.83984375" style="2" customWidth="1"/>
    <col min="6" max="6" width="10" style="10" customWidth="1"/>
    <col min="7" max="7" width="9.15625" style="10"/>
    <col min="8" max="10" width="9.15625" style="15"/>
    <col min="11" max="16384" width="9.15625" style="2"/>
  </cols>
  <sheetData>
    <row r="1" spans="1:10" x14ac:dyDescent="0.55000000000000004">
      <c r="A1" s="1" t="s">
        <v>12</v>
      </c>
      <c r="E1" s="3"/>
      <c r="F1" s="2"/>
      <c r="G1" s="2"/>
      <c r="H1" s="2"/>
      <c r="I1" s="2"/>
      <c r="J1" s="2"/>
    </row>
    <row r="2" spans="1:10" x14ac:dyDescent="0.55000000000000004">
      <c r="E2" s="4"/>
      <c r="F2" s="2"/>
      <c r="G2" s="2"/>
      <c r="H2" s="2"/>
      <c r="I2" s="2"/>
      <c r="J2" s="2"/>
    </row>
    <row r="3" spans="1:10" x14ac:dyDescent="0.55000000000000004">
      <c r="A3" s="3" t="s">
        <v>0</v>
      </c>
      <c r="E3" s="4"/>
      <c r="F3" s="2"/>
      <c r="G3" s="2"/>
      <c r="H3" s="2"/>
      <c r="I3" s="2"/>
      <c r="J3" s="2"/>
    </row>
    <row r="4" spans="1:10" x14ac:dyDescent="0.55000000000000004">
      <c r="A4" s="2" t="s">
        <v>1</v>
      </c>
      <c r="B4" s="16" t="s">
        <v>2</v>
      </c>
      <c r="F4" s="2"/>
      <c r="G4" s="2"/>
      <c r="H4" s="2"/>
      <c r="I4" s="2"/>
      <c r="J4" s="2"/>
    </row>
    <row r="5" spans="1:10" x14ac:dyDescent="0.55000000000000004">
      <c r="A5" s="2" t="s">
        <v>3</v>
      </c>
      <c r="B5" s="17">
        <v>24</v>
      </c>
      <c r="C5" s="5" t="str">
        <f>"customers/"&amp;Unit</f>
        <v>customers/hour</v>
      </c>
      <c r="F5" s="2"/>
      <c r="G5" s="2"/>
      <c r="H5" s="2"/>
      <c r="I5" s="2"/>
      <c r="J5" s="2"/>
    </row>
    <row r="6" spans="1:10" x14ac:dyDescent="0.55000000000000004">
      <c r="A6" s="2" t="s">
        <v>4</v>
      </c>
      <c r="B6" s="17">
        <v>3</v>
      </c>
      <c r="C6" s="5" t="str">
        <f>"customers/"&amp;Unit</f>
        <v>customers/hour</v>
      </c>
      <c r="F6" s="2"/>
      <c r="G6" s="2"/>
      <c r="H6" s="2"/>
      <c r="I6" s="2"/>
      <c r="J6" s="2"/>
    </row>
    <row r="7" spans="1:10" x14ac:dyDescent="0.55000000000000004">
      <c r="A7" s="4" t="s">
        <v>13</v>
      </c>
      <c r="B7" s="17">
        <v>15</v>
      </c>
      <c r="F7" s="2"/>
      <c r="G7" s="2"/>
      <c r="H7" s="2"/>
      <c r="I7" s="2"/>
      <c r="J7" s="2"/>
    </row>
    <row r="8" spans="1:10" x14ac:dyDescent="0.55000000000000004">
      <c r="C8" s="5"/>
      <c r="F8" s="2"/>
      <c r="G8" s="2"/>
      <c r="H8" s="2"/>
      <c r="I8" s="2"/>
      <c r="J8" s="2"/>
    </row>
    <row r="9" spans="1:10" x14ac:dyDescent="0.55000000000000004">
      <c r="C9" s="5"/>
      <c r="F9" s="2"/>
      <c r="G9" s="2"/>
      <c r="H9" s="2"/>
      <c r="I9" s="2"/>
      <c r="J9" s="2"/>
    </row>
    <row r="10" spans="1:10" x14ac:dyDescent="0.55000000000000004">
      <c r="A10" s="3" t="s">
        <v>5</v>
      </c>
      <c r="C10" s="5"/>
      <c r="E10" s="6"/>
      <c r="F10" s="7"/>
      <c r="G10" s="7"/>
      <c r="H10" s="7"/>
      <c r="I10" s="7"/>
      <c r="J10" s="2"/>
    </row>
    <row r="11" spans="1:10" x14ac:dyDescent="0.55000000000000004">
      <c r="A11" s="3" t="s">
        <v>6</v>
      </c>
      <c r="D11" s="8"/>
      <c r="E11" s="9" t="s">
        <v>14</v>
      </c>
      <c r="F11" s="8"/>
      <c r="H11" s="8"/>
      <c r="I11" s="8"/>
      <c r="J11" s="2"/>
    </row>
    <row r="12" spans="1:10" x14ac:dyDescent="0.55000000000000004">
      <c r="A12" s="4" t="s">
        <v>7</v>
      </c>
      <c r="B12" s="11">
        <v>9.1008888557553291E-3</v>
      </c>
      <c r="C12" s="2">
        <f>1-PLost</f>
        <v>0.99089911114424467</v>
      </c>
      <c r="D12" s="7"/>
      <c r="E12" s="12" t="s">
        <v>15</v>
      </c>
      <c r="F12" s="12" t="s">
        <v>16</v>
      </c>
      <c r="H12" s="13"/>
      <c r="I12" s="13"/>
      <c r="J12" s="2"/>
    </row>
    <row r="13" spans="1:10" x14ac:dyDescent="0.55000000000000004">
      <c r="A13" s="2" t="s">
        <v>8</v>
      </c>
      <c r="B13" s="10">
        <f>B5*(1-B12)</f>
        <v>23.781578667461872</v>
      </c>
      <c r="C13" s="5" t="str">
        <f>"customers/"&amp;Unit</f>
        <v>customers/hour</v>
      </c>
      <c r="E13" s="7">
        <v>0</v>
      </c>
      <c r="F13" s="14">
        <v>3.3824672573246062E-4</v>
      </c>
      <c r="G13" s="14"/>
      <c r="H13" s="13"/>
      <c r="I13" s="13"/>
      <c r="J13" s="2"/>
    </row>
    <row r="14" spans="1:10" x14ac:dyDescent="0.55000000000000004">
      <c r="A14" s="2" t="s">
        <v>9</v>
      </c>
      <c r="B14" s="10">
        <f>B13*B15</f>
        <v>7.9271928891539574</v>
      </c>
      <c r="C14" s="5" t="s">
        <v>10</v>
      </c>
      <c r="E14" s="7">
        <v>1</v>
      </c>
      <c r="F14" s="14">
        <v>2.7059738058596849E-3</v>
      </c>
      <c r="G14" s="14"/>
      <c r="H14" s="13"/>
      <c r="I14" s="13"/>
      <c r="J14" s="2"/>
    </row>
    <row r="15" spans="1:10" x14ac:dyDescent="0.55000000000000004">
      <c r="A15" s="2" t="s">
        <v>11</v>
      </c>
      <c r="B15" s="10">
        <f>1/B6</f>
        <v>0.33333333333333331</v>
      </c>
      <c r="C15" s="5" t="str">
        <f>Unit&amp;"s"</f>
        <v>hours</v>
      </c>
      <c r="E15" s="7">
        <v>2</v>
      </c>
      <c r="F15" s="14">
        <v>1.082389522343874E-2</v>
      </c>
      <c r="G15" s="14"/>
      <c r="H15" s="13"/>
      <c r="I15" s="13"/>
      <c r="J15" s="2"/>
    </row>
    <row r="16" spans="1:10" x14ac:dyDescent="0.55000000000000004">
      <c r="B16" s="15"/>
      <c r="E16" s="7">
        <v>3</v>
      </c>
      <c r="F16" s="14">
        <v>2.8863720595836639E-2</v>
      </c>
      <c r="G16" s="14"/>
      <c r="H16" s="13"/>
      <c r="I16" s="13"/>
      <c r="J16" s="2"/>
    </row>
    <row r="17" spans="2:10" x14ac:dyDescent="0.55000000000000004">
      <c r="B17" s="15"/>
      <c r="E17" s="7">
        <v>4</v>
      </c>
      <c r="F17" s="14">
        <v>5.7727441191673279E-2</v>
      </c>
      <c r="G17" s="14"/>
      <c r="H17" s="13"/>
      <c r="I17" s="13"/>
      <c r="J17" s="2"/>
    </row>
    <row r="18" spans="2:10" x14ac:dyDescent="0.55000000000000004">
      <c r="E18" s="7">
        <v>5</v>
      </c>
      <c r="F18" s="14">
        <v>9.2363908886909485E-2</v>
      </c>
      <c r="G18" s="14"/>
      <c r="H18" s="13"/>
      <c r="I18" s="13"/>
      <c r="J18" s="2"/>
    </row>
    <row r="19" spans="2:10" x14ac:dyDescent="0.55000000000000004">
      <c r="E19" s="7">
        <v>6</v>
      </c>
      <c r="F19" s="14">
        <v>0.12315187603235245</v>
      </c>
      <c r="G19" s="14"/>
      <c r="H19" s="13"/>
      <c r="I19" s="13"/>
      <c r="J19" s="2"/>
    </row>
    <row r="20" spans="2:10" x14ac:dyDescent="0.55000000000000004">
      <c r="E20" s="7">
        <v>7</v>
      </c>
      <c r="F20" s="14">
        <v>0.14074499905109406</v>
      </c>
      <c r="G20" s="14"/>
      <c r="H20" s="13"/>
      <c r="I20" s="13"/>
    </row>
    <row r="21" spans="2:10" x14ac:dyDescent="0.55000000000000004">
      <c r="E21" s="7">
        <v>8</v>
      </c>
      <c r="F21" s="14">
        <v>0.14074499905109406</v>
      </c>
      <c r="G21" s="14"/>
      <c r="H21" s="13"/>
      <c r="I21" s="13"/>
    </row>
    <row r="22" spans="2:10" x14ac:dyDescent="0.55000000000000004">
      <c r="E22" s="7">
        <v>9</v>
      </c>
      <c r="F22" s="14">
        <v>0.12510666251182556</v>
      </c>
      <c r="G22" s="14"/>
      <c r="H22" s="13"/>
      <c r="I22" s="13"/>
    </row>
    <row r="23" spans="2:10" x14ac:dyDescent="0.55000000000000004">
      <c r="E23" s="7">
        <v>10</v>
      </c>
      <c r="F23" s="14">
        <v>0.10008533298969269</v>
      </c>
      <c r="G23" s="14"/>
      <c r="H23" s="13"/>
      <c r="I23" s="13"/>
    </row>
    <row r="24" spans="2:10" x14ac:dyDescent="0.55000000000000004">
      <c r="E24" s="7">
        <v>11</v>
      </c>
      <c r="F24" s="14">
        <v>7.2789333760738373E-2</v>
      </c>
      <c r="G24" s="14"/>
      <c r="H24" s="13"/>
      <c r="I24" s="13"/>
    </row>
    <row r="25" spans="2:10" x14ac:dyDescent="0.55000000000000004">
      <c r="E25" s="7">
        <v>12</v>
      </c>
      <c r="F25" s="14">
        <v>4.8526223748922348E-2</v>
      </c>
      <c r="G25" s="14"/>
      <c r="H25" s="13"/>
      <c r="I25" s="13"/>
    </row>
    <row r="26" spans="2:10" x14ac:dyDescent="0.55000000000000004">
      <c r="E26" s="7">
        <v>13</v>
      </c>
      <c r="F26" s="14">
        <v>2.9862292110919952E-2</v>
      </c>
      <c r="G26" s="14"/>
      <c r="H26" s="13"/>
      <c r="I26" s="13"/>
    </row>
    <row r="27" spans="2:10" x14ac:dyDescent="0.55000000000000004">
      <c r="E27" s="7">
        <v>14</v>
      </c>
      <c r="F27" s="14">
        <v>1.7064167186617851E-2</v>
      </c>
      <c r="G27" s="14"/>
      <c r="H27" s="13"/>
      <c r="I27" s="13"/>
    </row>
    <row r="28" spans="2:10" x14ac:dyDescent="0.55000000000000004">
      <c r="E28" s="7">
        <v>15</v>
      </c>
      <c r="F28" s="14">
        <v>9.1008888557553291E-3</v>
      </c>
      <c r="G28" s="14"/>
      <c r="H28" s="13"/>
      <c r="I28" s="13"/>
    </row>
    <row r="29" spans="2:10" x14ac:dyDescent="0.55000000000000004">
      <c r="E29" s="7"/>
      <c r="F29" s="14"/>
      <c r="G29" s="14"/>
      <c r="H29" s="13"/>
      <c r="I29" s="13"/>
    </row>
    <row r="30" spans="2:10" x14ac:dyDescent="0.55000000000000004">
      <c r="E30" s="7"/>
      <c r="F30" s="14"/>
      <c r="G30" s="14"/>
      <c r="H30" s="13"/>
      <c r="I30" s="13"/>
    </row>
    <row r="31" spans="2:10" x14ac:dyDescent="0.55000000000000004">
      <c r="E31" s="7"/>
      <c r="F31" s="14"/>
      <c r="G31" s="14"/>
      <c r="H31" s="13"/>
      <c r="I31" s="13"/>
    </row>
    <row r="32" spans="2:10" x14ac:dyDescent="0.55000000000000004">
      <c r="E32" s="7"/>
      <c r="F32" s="14"/>
      <c r="G32" s="14"/>
      <c r="H32" s="13"/>
      <c r="I32" s="13"/>
    </row>
    <row r="33" spans="5:9" x14ac:dyDescent="0.55000000000000004">
      <c r="E33" s="7"/>
      <c r="F33" s="14"/>
      <c r="G33" s="14"/>
      <c r="H33" s="13"/>
      <c r="I33" s="13"/>
    </row>
    <row r="34" spans="5:9" x14ac:dyDescent="0.55000000000000004">
      <c r="E34" s="7"/>
      <c r="F34" s="14"/>
      <c r="G34" s="14"/>
      <c r="H34" s="13"/>
      <c r="I34" s="13"/>
    </row>
    <row r="35" spans="5:9" x14ac:dyDescent="0.55000000000000004">
      <c r="E35" s="7"/>
      <c r="F35" s="14"/>
      <c r="G35" s="14"/>
      <c r="H35" s="13"/>
      <c r="I35" s="13"/>
    </row>
    <row r="36" spans="5:9" x14ac:dyDescent="0.55000000000000004">
      <c r="E36" s="7"/>
      <c r="F36" s="14"/>
      <c r="G36" s="14"/>
      <c r="H36" s="13"/>
      <c r="I36" s="13"/>
    </row>
    <row r="37" spans="5:9" x14ac:dyDescent="0.55000000000000004">
      <c r="E37" s="7"/>
      <c r="F37" s="14"/>
      <c r="G37" s="14"/>
      <c r="H37" s="13"/>
      <c r="I37" s="13"/>
    </row>
    <row r="38" spans="5:9" x14ac:dyDescent="0.55000000000000004">
      <c r="E38" s="7"/>
      <c r="F38" s="14"/>
      <c r="G38" s="14"/>
      <c r="H38" s="13"/>
      <c r="I38" s="13"/>
    </row>
    <row r="39" spans="5:9" x14ac:dyDescent="0.55000000000000004">
      <c r="E39" s="7"/>
      <c r="F39" s="14"/>
      <c r="G39" s="14"/>
      <c r="H39" s="13"/>
      <c r="I39" s="13"/>
    </row>
    <row r="40" spans="5:9" x14ac:dyDescent="0.55000000000000004">
      <c r="E40" s="7"/>
      <c r="F40" s="14"/>
      <c r="G40" s="14"/>
      <c r="H40" s="13"/>
      <c r="I40" s="13"/>
    </row>
    <row r="41" spans="5:9" x14ac:dyDescent="0.55000000000000004">
      <c r="E41" s="7"/>
      <c r="F41" s="14"/>
      <c r="G41" s="14"/>
      <c r="H41" s="13"/>
      <c r="I41" s="13"/>
    </row>
    <row r="42" spans="5:9" x14ac:dyDescent="0.55000000000000004">
      <c r="E42" s="7"/>
      <c r="F42" s="14"/>
      <c r="G42" s="14"/>
      <c r="H42" s="13"/>
      <c r="I42" s="13"/>
    </row>
    <row r="43" spans="5:9" x14ac:dyDescent="0.55000000000000004">
      <c r="E43" s="7"/>
      <c r="F43" s="14"/>
      <c r="G43" s="14"/>
      <c r="H43" s="13"/>
      <c r="I43" s="13"/>
    </row>
    <row r="44" spans="5:9" x14ac:dyDescent="0.55000000000000004">
      <c r="E44" s="7"/>
      <c r="F44" s="14"/>
      <c r="G44" s="14"/>
      <c r="H44" s="13"/>
      <c r="I44" s="13"/>
    </row>
    <row r="45" spans="5:9" x14ac:dyDescent="0.55000000000000004">
      <c r="E45" s="7"/>
      <c r="F45" s="14"/>
      <c r="G45" s="14"/>
      <c r="H45" s="13"/>
      <c r="I45" s="13"/>
    </row>
    <row r="46" spans="5:9" x14ac:dyDescent="0.55000000000000004">
      <c r="E46" s="7"/>
      <c r="F46" s="14"/>
      <c r="G46" s="14"/>
      <c r="H46" s="13"/>
      <c r="I46" s="13"/>
    </row>
    <row r="47" spans="5:9" x14ac:dyDescent="0.55000000000000004">
      <c r="E47" s="7"/>
      <c r="F47" s="14"/>
      <c r="G47" s="14"/>
      <c r="H47" s="13"/>
      <c r="I47" s="13"/>
    </row>
    <row r="48" spans="5:9" x14ac:dyDescent="0.55000000000000004">
      <c r="E48" s="7"/>
      <c r="F48" s="14"/>
      <c r="G48" s="14"/>
      <c r="H48" s="13"/>
      <c r="I48" s="13"/>
    </row>
    <row r="49" spans="5:9" x14ac:dyDescent="0.55000000000000004">
      <c r="E49" s="7"/>
      <c r="F49" s="14"/>
      <c r="G49" s="14"/>
      <c r="H49" s="13"/>
      <c r="I49" s="13"/>
    </row>
    <row r="50" spans="5:9" x14ac:dyDescent="0.55000000000000004">
      <c r="E50" s="7"/>
      <c r="F50" s="14"/>
      <c r="G50" s="14"/>
      <c r="H50" s="13"/>
      <c r="I50" s="13"/>
    </row>
    <row r="51" spans="5:9" x14ac:dyDescent="0.55000000000000004">
      <c r="E51" s="7"/>
      <c r="F51" s="14"/>
      <c r="G51" s="14"/>
      <c r="H51" s="13"/>
      <c r="I51" s="13"/>
    </row>
    <row r="52" spans="5:9" x14ac:dyDescent="0.55000000000000004">
      <c r="E52" s="7"/>
      <c r="F52" s="14"/>
      <c r="G52" s="14"/>
      <c r="H52" s="13"/>
      <c r="I52" s="13"/>
    </row>
    <row r="53" spans="5:9" x14ac:dyDescent="0.55000000000000004">
      <c r="E53" s="7"/>
      <c r="F53" s="14"/>
      <c r="G53" s="14"/>
      <c r="H53" s="13"/>
      <c r="I53" s="13"/>
    </row>
    <row r="54" spans="5:9" x14ac:dyDescent="0.55000000000000004">
      <c r="E54" s="7"/>
      <c r="F54" s="14"/>
      <c r="G54" s="14"/>
      <c r="H54" s="13"/>
      <c r="I54" s="13"/>
    </row>
    <row r="55" spans="5:9" x14ac:dyDescent="0.55000000000000004">
      <c r="E55" s="7"/>
      <c r="F55" s="14"/>
      <c r="G55" s="14"/>
      <c r="H55" s="13"/>
      <c r="I55" s="13"/>
    </row>
    <row r="56" spans="5:9" x14ac:dyDescent="0.55000000000000004">
      <c r="E56" s="7"/>
      <c r="F56" s="14"/>
      <c r="G56" s="14"/>
      <c r="H56" s="13"/>
      <c r="I56" s="13"/>
    </row>
    <row r="57" spans="5:9" x14ac:dyDescent="0.55000000000000004">
      <c r="E57" s="7"/>
      <c r="F57" s="14"/>
      <c r="G57" s="14"/>
      <c r="H57" s="13"/>
      <c r="I57" s="13"/>
    </row>
    <row r="58" spans="5:9" x14ac:dyDescent="0.55000000000000004">
      <c r="E58" s="7"/>
      <c r="F58" s="14"/>
      <c r="G58" s="14"/>
      <c r="H58" s="13"/>
      <c r="I58" s="13"/>
    </row>
    <row r="59" spans="5:9" x14ac:dyDescent="0.55000000000000004">
      <c r="E59" s="7"/>
      <c r="F59" s="14"/>
      <c r="G59" s="14"/>
      <c r="H59" s="13"/>
      <c r="I59" s="13"/>
    </row>
    <row r="60" spans="5:9" x14ac:dyDescent="0.55000000000000004">
      <c r="E60" s="7"/>
      <c r="F60" s="14"/>
      <c r="G60" s="14"/>
      <c r="H60" s="13"/>
      <c r="I60" s="13"/>
    </row>
    <row r="61" spans="5:9" x14ac:dyDescent="0.55000000000000004">
      <c r="E61" s="7"/>
      <c r="F61" s="14"/>
      <c r="G61" s="14"/>
      <c r="H61" s="13"/>
      <c r="I61" s="13"/>
    </row>
  </sheetData>
  <phoneticPr fontId="2" type="noConversion"/>
  <printOptions horizontalCentered="1" verticalCentered="1" headings="1" gridLines="1" gridLinesSet="0"/>
  <pageMargins left="0.75" right="0.75" top="1" bottom="1" header="0.5" footer="0.5"/>
  <pageSetup scale="83" orientation="portrait" horizontalDpi="240" verticalDpi="14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Line="0" autoPict="0" macro="[0]!Calc">
                <anchor moveWithCells="1" sizeWithCells="1">
                  <from>
                    <xdr:col>4</xdr:col>
                    <xdr:colOff>182880</xdr:colOff>
                    <xdr:row>2</xdr:row>
                    <xdr:rowOff>125730</xdr:rowOff>
                  </from>
                  <to>
                    <xdr:col>6</xdr:col>
                    <xdr:colOff>449580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Example Background</vt:lpstr>
      <vt:lpstr>Model</vt:lpstr>
      <vt:lpstr>EnterRate</vt:lpstr>
      <vt:lpstr>L</vt:lpstr>
      <vt:lpstr>Lam</vt:lpstr>
      <vt:lpstr>Mu</vt:lpstr>
      <vt:lpstr>NumServ</vt:lpstr>
      <vt:lpstr>NumSys</vt:lpstr>
      <vt:lpstr>PLost</vt:lpstr>
      <vt:lpstr>Model!Print_Area</vt:lpstr>
      <vt:lpstr>Unit</vt:lpstr>
      <vt:lpstr>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IU School of Business</dc:creator>
  <cp:lastModifiedBy>Jia Guo</cp:lastModifiedBy>
  <cp:lastPrinted>2010-08-02T16:15:44Z</cp:lastPrinted>
  <dcterms:created xsi:type="dcterms:W3CDTF">2003-03-28T18:25:18Z</dcterms:created>
  <dcterms:modified xsi:type="dcterms:W3CDTF">2020-07-12T22:56:01Z</dcterms:modified>
</cp:coreProperties>
</file>