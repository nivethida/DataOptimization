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vethida/Documents/Summer Session/Data Optimization/Queing model/"/>
    </mc:Choice>
  </mc:AlternateContent>
  <xr:revisionPtr revIDLastSave="0" documentId="13_ncr:1_{0F1C03D1-3FE7-664F-821A-721E41E12EFC}" xr6:coauthVersionLast="45" xr6:coauthVersionMax="45" xr10:uidLastSave="{00000000-0000-0000-0000-000000000000}"/>
  <bookViews>
    <workbookView xWindow="0" yWindow="460" windowWidth="26040" windowHeight="12700" activeTab="1" xr2:uid="{00000000-000D-0000-FFFF-FFFF00000000}"/>
  </bookViews>
  <sheets>
    <sheet name="Example Background" sheetId="3" r:id="rId1"/>
    <sheet name="Model" sheetId="1" r:id="rId2"/>
    <sheet name="Module1" sheetId="2" state="veryHidden" r:id="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DemoMode" hidden="1">FALSE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Print_Area" localSheetId="1">Model!$A$1:$I$34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  <c r="B5" i="1"/>
  <c r="B13" i="1" l="1"/>
  <c r="B12" i="1"/>
  <c r="H11" i="1"/>
  <c r="C21" i="1"/>
  <c r="C20" i="1"/>
  <c r="C12" i="1"/>
  <c r="C11" i="1"/>
  <c r="C6" i="1"/>
  <c r="C5" i="1"/>
  <c r="B11" i="1"/>
  <c r="E11" i="1"/>
  <c r="F14" i="1" l="1"/>
  <c r="F16" i="1"/>
  <c r="F18" i="1"/>
  <c r="F20" i="1"/>
  <c r="F22" i="1"/>
  <c r="F24" i="1"/>
  <c r="F26" i="1"/>
  <c r="F28" i="1"/>
  <c r="F30" i="1"/>
  <c r="F32" i="1"/>
  <c r="F34" i="1"/>
  <c r="F36" i="1"/>
  <c r="F38" i="1"/>
  <c r="F40" i="1"/>
  <c r="F42" i="1"/>
  <c r="B17" i="1"/>
  <c r="B19" i="1" s="1"/>
  <c r="F13" i="1"/>
  <c r="F15" i="1"/>
  <c r="F17" i="1"/>
  <c r="F19" i="1"/>
  <c r="F21" i="1"/>
  <c r="F23" i="1"/>
  <c r="F25" i="1"/>
  <c r="F27" i="1"/>
  <c r="F29" i="1"/>
  <c r="F31" i="1"/>
  <c r="F33" i="1"/>
  <c r="F35" i="1"/>
  <c r="F37" i="1"/>
  <c r="F39" i="1"/>
  <c r="F41" i="1"/>
  <c r="F12" i="1"/>
  <c r="I12" i="1" l="1"/>
  <c r="B22" i="1"/>
  <c r="B21" i="1"/>
  <c r="B20" i="1" s="1"/>
  <c r="B1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albright</author>
  </authors>
  <commentList>
    <comment ref="E10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Copy down farther if you like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0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Enter any time t in cell H12.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2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Same as the probability that not all servers are busy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<sst xmlns="http://schemas.openxmlformats.org/spreadsheetml/2006/main" count="26" uniqueCount="25">
  <si>
    <t>Inputs</t>
  </si>
  <si>
    <t>Unit of time</t>
  </si>
  <si>
    <t>hour</t>
  </si>
  <si>
    <t>Arrival rate</t>
  </si>
  <si>
    <t>Service rate per server</t>
  </si>
  <si>
    <t>Number of servers</t>
  </si>
  <si>
    <t>Outputs</t>
  </si>
  <si>
    <t>Direct outputs from inputs</t>
  </si>
  <si>
    <t>Distribution of number in system</t>
  </si>
  <si>
    <t>Distribution of time in queue</t>
  </si>
  <si>
    <t>Mean time between arrivals</t>
  </si>
  <si>
    <t>P(n in system)</t>
  </si>
  <si>
    <t>P(wait &gt; t)</t>
  </si>
  <si>
    <t>Mean time per service</t>
  </si>
  <si>
    <t>Traffic intensity</t>
  </si>
  <si>
    <t>Summary measures</t>
  </si>
  <si>
    <t>P(system empty)</t>
  </si>
  <si>
    <t>Expected number in system</t>
  </si>
  <si>
    <t>customers</t>
  </si>
  <si>
    <t>Expected number in queue</t>
  </si>
  <si>
    <t>Expected time in system</t>
  </si>
  <si>
    <t>Expected time in queue</t>
  </si>
  <si>
    <t>Percentage who don't wait in queue</t>
  </si>
  <si>
    <t>M/M/s Queue</t>
  </si>
  <si>
    <t>P(all servers busy)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</si>
</sst>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%"/>
  </numFmts>
  <fonts count="7">
    <font>
      <sz val="11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5" fillId="0" borderId="0" xfId="0" quotePrefix="1" applyFont="1" applyAlignment="1">
      <alignment horizontal="left"/>
    </xf>
    <xf numFmtId="0" fontId="4" fillId="0" borderId="0" xfId="0" applyFont="1"/>
    <xf numFmtId="0" fontId="5" fillId="0" borderId="0" xfId="0" applyFont="1"/>
    <xf numFmtId="0" fontId="4" fillId="2" borderId="0" xfId="0" applyFont="1" applyFill="1" applyBorder="1" applyAlignment="1">
      <alignment horizontal="right"/>
    </xf>
    <xf numFmtId="0" fontId="4" fillId="2" borderId="0" xfId="0" applyFont="1" applyFill="1" applyBorder="1"/>
    <xf numFmtId="0" fontId="4" fillId="0" borderId="0" xfId="0" applyFont="1" applyAlignment="1">
      <alignment horizontal="right"/>
    </xf>
    <xf numFmtId="165" fontId="4" fillId="0" borderId="0" xfId="0" applyNumberFormat="1" applyFont="1"/>
    <xf numFmtId="164" fontId="4" fillId="0" borderId="0" xfId="0" applyNumberFormat="1" applyFont="1"/>
    <xf numFmtId="166" fontId="4" fillId="0" borderId="0" xfId="1" applyNumberFormat="1" applyFont="1"/>
    <xf numFmtId="0" fontId="4" fillId="0" borderId="0" xfId="0" quotePrefix="1" applyFont="1" applyAlignment="1">
      <alignment horizontal="left"/>
    </xf>
    <xf numFmtId="0" fontId="4" fillId="2" borderId="0" xfId="0" applyFont="1" applyFill="1"/>
  </cellXfs>
  <cellStyles count="2">
    <cellStyle name="Normal" xfId="0" builtinId="0" customBuiltin="1"/>
    <cellStyle name="Per 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354330</xdr:colOff>
      <xdr:row>4</xdr:row>
      <xdr:rowOff>30480</xdr:rowOff>
    </xdr:from>
    <xdr:ext cx="7930569" cy="2346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634490" y="762000"/>
          <a:ext cx="7930569" cy="2346412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County Bank has several branch locations. At one of these locations, customers arrive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 a Poisson rate of 150 per hour. The branch employs six tellers. Each teller takes,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 average, two minutes to serve a customer, and service times are exponentially distri-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buted. Also, all tellers perform all tasks, so that customers can go to any of the six tellers.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Customers who arrive and find all six tellers busy join a single queue and are then served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FCFS fashion. As a first step, the bank manager wants to develop a queueing model of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current system. Then he wants to find the “best” number of tellers, given that tellers are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paid $12 per hour.</a:t>
          </a:r>
        </a:p>
        <a:p>
          <a:endParaRPr lang="en-US" sz="16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2</xdr:row>
      <xdr:rowOff>38100</xdr:rowOff>
    </xdr:from>
    <xdr:to>
      <xdr:col>12</xdr:col>
      <xdr:colOff>542926</xdr:colOff>
      <xdr:row>7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658100" y="419100"/>
          <a:ext cx="3648076" cy="1066800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Enter inputs in the</a:t>
          </a: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blue cells</a:t>
          </a:r>
          <a:r>
            <a:rPr lang="en-US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and then click </a:t>
          </a: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the button to the left to run the macro. This calculates P(0), the value in cell B16, and then everything else recalculates automatically. Do </a:t>
          </a:r>
          <a:r>
            <a:rPr lang="en-US" sz="1100" b="0" i="1">
              <a:solidFill>
                <a:schemeClr val="dk1"/>
              </a:solidFill>
              <a:latin typeface="+mn-lt"/>
              <a:ea typeface="+mn-ea"/>
              <a:cs typeface="+mn-cs"/>
            </a:rPr>
            <a:t>not </a:t>
          </a: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rearrange cells in this template -- this might cause the macro to stop behaving correctly.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3</xdr:row>
          <xdr:rowOff>139700</xdr:rowOff>
        </xdr:from>
        <xdr:to>
          <xdr:col>5</xdr:col>
          <xdr:colOff>914400</xdr:colOff>
          <xdr:row>6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steady-state quantities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428624</xdr:colOff>
      <xdr:row>13</xdr:row>
      <xdr:rowOff>152399</xdr:rowOff>
    </xdr:from>
    <xdr:to>
      <xdr:col>13</xdr:col>
      <xdr:colOff>400049</xdr:colOff>
      <xdr:row>26</xdr:row>
      <xdr:rowOff>142874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553324" y="2628899"/>
          <a:ext cx="4219575" cy="24669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/>
            <a:t>The reason a macro is used in this template is to calculate p</a:t>
          </a:r>
          <a:r>
            <a:rPr lang="en-US" sz="1100" baseline="-25000"/>
            <a:t>0</a:t>
          </a:r>
          <a:r>
            <a:rPr lang="en-US" sz="1100" baseline="0"/>
            <a:t> in cell B16 through a messy formula. Then this value of p</a:t>
          </a:r>
          <a:r>
            <a:rPr lang="en-US" sz="1100" baseline="-25000"/>
            <a:t>0</a:t>
          </a:r>
          <a:r>
            <a:rPr lang="en-US" sz="1100" baseline="0"/>
            <a:t> drives all of the other calculated quantities. As with the MM1 template, you can check how Little's law is used in cells B18 and B21. Note that a customer can enter service immediately, i.e., doesn't have to wait, only if not all servers are busy when she arrives. This explains the relationship between cells B17 and B22.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that the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fastest the servers can serve customers is the rate per server times the number of servers. So this product </a:t>
          </a:r>
          <a:r>
            <a:rPr lang="en-US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must </a:t>
          </a:r>
          <a:r>
            <a:rPr lang="en-US" sz="11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 greater than the arrival rate. Otherwise, the formulas in this template aren't relevant.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D21CD-F435-4CF9-9948-0799EAD43AEF}">
  <dimension ref="A1"/>
  <sheetViews>
    <sheetView workbookViewId="0">
      <selection activeCell="K24" sqref="K24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51"/>
  <sheetViews>
    <sheetView tabSelected="1" workbookViewId="0">
      <selection activeCell="B6" sqref="B6"/>
    </sheetView>
  </sheetViews>
  <sheetFormatPr baseColWidth="10" defaultColWidth="9.1640625" defaultRowHeight="15"/>
  <cols>
    <col min="1" max="1" width="33.5" style="2" customWidth="1"/>
    <col min="2" max="2" width="9.5" style="2" bestFit="1" customWidth="1"/>
    <col min="3" max="3" width="16.83203125" style="2" customWidth="1"/>
    <col min="4" max="4" width="6.5" style="2" customWidth="1"/>
    <col min="5" max="5" width="14.6640625" style="2" customWidth="1"/>
    <col min="6" max="6" width="15.83203125" style="2" customWidth="1"/>
    <col min="7" max="7" width="5" style="2" customWidth="1"/>
    <col min="8" max="8" width="14.6640625" style="2" customWidth="1"/>
    <col min="9" max="9" width="12.5" style="2" customWidth="1"/>
    <col min="10" max="16384" width="9.1640625" style="2"/>
  </cols>
  <sheetData>
    <row r="1" spans="1:9" ht="15" customHeight="1">
      <c r="A1" s="1" t="s">
        <v>23</v>
      </c>
      <c r="E1" s="3"/>
    </row>
    <row r="2" spans="1:9" ht="15" customHeight="1"/>
    <row r="3" spans="1:9" ht="15" customHeight="1">
      <c r="A3" s="3" t="s">
        <v>0</v>
      </c>
    </row>
    <row r="4" spans="1:9" ht="15" customHeight="1">
      <c r="A4" s="2" t="s">
        <v>1</v>
      </c>
      <c r="B4" s="4" t="s">
        <v>2</v>
      </c>
    </row>
    <row r="5" spans="1:9" ht="15" customHeight="1">
      <c r="A5" s="2" t="s">
        <v>3</v>
      </c>
      <c r="B5" s="2">
        <f>20/24</f>
        <v>0.83333333333333337</v>
      </c>
      <c r="C5" s="6" t="str">
        <f>"customers/"&amp;$B$4</f>
        <v>customers/hour</v>
      </c>
      <c r="D5" s="6"/>
    </row>
    <row r="6" spans="1:9" ht="15" customHeight="1">
      <c r="A6" s="2" t="s">
        <v>4</v>
      </c>
      <c r="B6" s="11">
        <f>25/24</f>
        <v>1.0416666666666667</v>
      </c>
      <c r="C6" s="6" t="str">
        <f>"customers/"&amp;$B$4</f>
        <v>customers/hour</v>
      </c>
      <c r="D6" s="6"/>
    </row>
    <row r="7" spans="1:9" ht="15" customHeight="1">
      <c r="A7" s="2" t="s">
        <v>5</v>
      </c>
      <c r="B7" s="5">
        <v>6</v>
      </c>
      <c r="C7" s="6"/>
      <c r="D7" s="6"/>
    </row>
    <row r="8" spans="1:9" ht="15" customHeight="1"/>
    <row r="9" spans="1:9" ht="15" customHeight="1">
      <c r="A9" s="3" t="s">
        <v>6</v>
      </c>
    </row>
    <row r="10" spans="1:9" ht="15" customHeight="1">
      <c r="A10" s="3" t="s">
        <v>7</v>
      </c>
      <c r="E10" s="3" t="s">
        <v>8</v>
      </c>
      <c r="H10" s="3" t="s">
        <v>9</v>
      </c>
    </row>
    <row r="11" spans="1:9" ht="15" customHeight="1">
      <c r="A11" s="2" t="s">
        <v>10</v>
      </c>
      <c r="B11" s="7">
        <f>1/B5</f>
        <v>1.2</v>
      </c>
      <c r="C11" s="6" t="str">
        <f>$B$4&amp;"s"</f>
        <v>hours</v>
      </c>
      <c r="D11" s="6"/>
      <c r="E11" s="6" t="str">
        <f>"n (customers)"</f>
        <v>n (customers)</v>
      </c>
      <c r="F11" s="6" t="s">
        <v>11</v>
      </c>
      <c r="H11" s="6" t="str">
        <f>"t (in "&amp;B4&amp;"s)"</f>
        <v>t (in hours)</v>
      </c>
      <c r="I11" s="6" t="s">
        <v>12</v>
      </c>
    </row>
    <row r="12" spans="1:9" ht="15" customHeight="1">
      <c r="A12" s="2" t="s">
        <v>13</v>
      </c>
      <c r="B12" s="7">
        <f>1/B6</f>
        <v>0.96</v>
      </c>
      <c r="C12" s="6" t="str">
        <f>$B$4&amp;"s"</f>
        <v>hours</v>
      </c>
      <c r="D12" s="6"/>
      <c r="E12" s="2">
        <v>0</v>
      </c>
      <c r="F12" s="8">
        <f>IF(E12&lt;=$B$7,($B$7*$B$13)^E12*$B$16/FACT(E12),($B$7*$B$13)^E12*$B$16/(FACT($B$7)*$B$7^(E12-$B$7)))</f>
        <v>1.7774321815772811E-4</v>
      </c>
      <c r="H12" s="7">
        <v>0.09</v>
      </c>
      <c r="I12" s="7">
        <f>$B$17*EXP(-$B$7*$B$6*(1-$B$13)*H12)</f>
        <v>4.5859552382391718E-8</v>
      </c>
    </row>
    <row r="13" spans="1:9" ht="15" customHeight="1">
      <c r="A13" s="2" t="s">
        <v>14</v>
      </c>
      <c r="B13" s="7">
        <f>B5/(B7*B6)</f>
        <v>0.13333333333333333</v>
      </c>
      <c r="D13" s="6"/>
      <c r="E13" s="2">
        <v>1</v>
      </c>
      <c r="F13" s="8">
        <f t="shared" ref="F13:F42" si="0">IF(E13&lt;=$B$7,($B$7*$B$13)^E13*$B$16/FACT(E13),($B$7*$B$13)^E13*$B$16/(FACT($B$7)*$B$7^(E13-$B$7)))</f>
        <v>1.4219457452618249E-4</v>
      </c>
    </row>
    <row r="14" spans="1:9" ht="15" customHeight="1">
      <c r="E14" s="2">
        <v>2</v>
      </c>
      <c r="F14" s="8">
        <f t="shared" si="0"/>
        <v>5.6877829810473005E-5</v>
      </c>
    </row>
    <row r="15" spans="1:9" ht="15" customHeight="1">
      <c r="A15" s="3" t="s">
        <v>15</v>
      </c>
      <c r="B15" s="7"/>
      <c r="E15" s="2">
        <v>3</v>
      </c>
      <c r="F15" s="8">
        <f t="shared" si="0"/>
        <v>1.5167421282792802E-5</v>
      </c>
    </row>
    <row r="16" spans="1:9" ht="15" customHeight="1">
      <c r="A16" s="2" t="s">
        <v>16</v>
      </c>
      <c r="B16" s="7">
        <v>1.7774321815772811E-4</v>
      </c>
      <c r="D16" s="6"/>
      <c r="E16" s="2">
        <v>4</v>
      </c>
      <c r="F16" s="8">
        <f t="shared" si="0"/>
        <v>3.0334842565585614E-6</v>
      </c>
    </row>
    <row r="17" spans="1:6" ht="15" customHeight="1">
      <c r="A17" s="2" t="s">
        <v>24</v>
      </c>
      <c r="B17" s="9">
        <f>(B7*B13)^B7*B16/(FACT(B7)*(1-B13))</f>
        <v>7.4670381699903058E-8</v>
      </c>
      <c r="D17" s="6"/>
      <c r="E17" s="2">
        <v>5</v>
      </c>
      <c r="F17" s="8">
        <f t="shared" si="0"/>
        <v>4.8535748104936981E-7</v>
      </c>
    </row>
    <row r="18" spans="1:6" ht="15" customHeight="1">
      <c r="A18" s="2" t="s">
        <v>17</v>
      </c>
      <c r="B18" s="7">
        <f>B5*B20</f>
        <v>0.80000001148775102</v>
      </c>
      <c r="C18" s="6" t="s">
        <v>18</v>
      </c>
      <c r="D18" s="6"/>
      <c r="E18" s="2">
        <v>6</v>
      </c>
      <c r="F18" s="8">
        <f t="shared" si="0"/>
        <v>6.471433080658265E-8</v>
      </c>
    </row>
    <row r="19" spans="1:6" ht="15" customHeight="1">
      <c r="A19" s="2" t="s">
        <v>19</v>
      </c>
      <c r="B19" s="7">
        <f>B17*B13/(1-B13)</f>
        <v>1.1487751030754316E-8</v>
      </c>
      <c r="C19" s="6" t="s">
        <v>18</v>
      </c>
      <c r="D19" s="6"/>
      <c r="E19" s="2">
        <v>7</v>
      </c>
      <c r="F19" s="8">
        <f t="shared" si="0"/>
        <v>8.6285774408776876E-9</v>
      </c>
    </row>
    <row r="20" spans="1:6" ht="15" customHeight="1">
      <c r="A20" s="2" t="s">
        <v>20</v>
      </c>
      <c r="B20" s="7">
        <f>B21+B12</f>
        <v>0.9600000137853012</v>
      </c>
      <c r="C20" s="6" t="str">
        <f>$B$4&amp;"s"</f>
        <v>hours</v>
      </c>
      <c r="D20" s="6"/>
      <c r="E20" s="2">
        <v>8</v>
      </c>
      <c r="F20" s="8">
        <f t="shared" si="0"/>
        <v>1.1504769921170252E-9</v>
      </c>
    </row>
    <row r="21" spans="1:6" ht="15" customHeight="1">
      <c r="A21" s="2" t="s">
        <v>21</v>
      </c>
      <c r="B21" s="7">
        <f>B19/B5</f>
        <v>1.3785301236905178E-8</v>
      </c>
      <c r="C21" s="6" t="str">
        <f>$B$4&amp;"s"</f>
        <v>hours</v>
      </c>
      <c r="E21" s="2">
        <v>9</v>
      </c>
      <c r="F21" s="8">
        <f t="shared" si="0"/>
        <v>1.5339693228227003E-10</v>
      </c>
    </row>
    <row r="22" spans="1:6" ht="15" customHeight="1">
      <c r="A22" s="10" t="s">
        <v>22</v>
      </c>
      <c r="B22" s="9">
        <f>1-B17</f>
        <v>0.99999992532961834</v>
      </c>
      <c r="E22" s="2">
        <v>10</v>
      </c>
      <c r="F22" s="8">
        <f t="shared" si="0"/>
        <v>2.0452924304302673E-11</v>
      </c>
    </row>
    <row r="23" spans="1:6" ht="15" customHeight="1">
      <c r="E23" s="2">
        <v>11</v>
      </c>
      <c r="F23" s="8">
        <f t="shared" si="0"/>
        <v>2.7270565739070229E-12</v>
      </c>
    </row>
    <row r="24" spans="1:6" ht="15" customHeight="1">
      <c r="E24" s="2">
        <v>12</v>
      </c>
      <c r="F24" s="8">
        <f t="shared" si="0"/>
        <v>3.6360754318760321E-13</v>
      </c>
    </row>
    <row r="25" spans="1:6" ht="15" customHeight="1">
      <c r="E25" s="2">
        <v>13</v>
      </c>
      <c r="F25" s="8">
        <f t="shared" si="0"/>
        <v>4.8481005758347097E-14</v>
      </c>
    </row>
    <row r="26" spans="1:6" ht="15" customHeight="1">
      <c r="E26" s="2">
        <v>14</v>
      </c>
      <c r="F26" s="8">
        <f t="shared" si="0"/>
        <v>6.4641341011129467E-15</v>
      </c>
    </row>
    <row r="27" spans="1:6" ht="15" customHeight="1">
      <c r="E27" s="2">
        <v>15</v>
      </c>
      <c r="F27" s="8">
        <f t="shared" si="0"/>
        <v>8.6188454681505967E-16</v>
      </c>
    </row>
    <row r="28" spans="1:6" ht="15" customHeight="1">
      <c r="E28" s="2">
        <v>16</v>
      </c>
      <c r="F28" s="8">
        <f t="shared" si="0"/>
        <v>1.1491793957534129E-16</v>
      </c>
    </row>
    <row r="29" spans="1:6" ht="15" customHeight="1">
      <c r="E29" s="2">
        <v>17</v>
      </c>
      <c r="F29" s="8">
        <f t="shared" si="0"/>
        <v>1.5322391943378839E-17</v>
      </c>
    </row>
    <row r="30" spans="1:6" ht="15" customHeight="1">
      <c r="E30" s="2">
        <v>18</v>
      </c>
      <c r="F30" s="8">
        <f t="shared" si="0"/>
        <v>2.0429855924505122E-18</v>
      </c>
    </row>
    <row r="31" spans="1:6" ht="15" customHeight="1">
      <c r="E31" s="2">
        <v>19</v>
      </c>
      <c r="F31" s="8">
        <f t="shared" si="0"/>
        <v>2.7239807899340161E-19</v>
      </c>
    </row>
    <row r="32" spans="1:6" ht="15" customHeight="1">
      <c r="E32" s="2">
        <v>20</v>
      </c>
      <c r="F32" s="8">
        <f t="shared" si="0"/>
        <v>3.6319743865786902E-20</v>
      </c>
    </row>
    <row r="33" spans="5:6" ht="15" customHeight="1">
      <c r="E33" s="2">
        <v>21</v>
      </c>
      <c r="F33" s="8">
        <f t="shared" si="0"/>
        <v>4.842632515438254E-21</v>
      </c>
    </row>
    <row r="34" spans="5:6" ht="15" customHeight="1">
      <c r="E34" s="2">
        <v>22</v>
      </c>
      <c r="F34" s="8">
        <f t="shared" si="0"/>
        <v>6.4568433539176719E-22</v>
      </c>
    </row>
    <row r="35" spans="5:6" ht="15" customHeight="1">
      <c r="E35" s="2">
        <v>23</v>
      </c>
      <c r="F35" s="8">
        <f t="shared" si="0"/>
        <v>8.6091244718902282E-23</v>
      </c>
    </row>
    <row r="36" spans="5:6" ht="15" customHeight="1">
      <c r="E36" s="2">
        <v>24</v>
      </c>
      <c r="F36" s="8">
        <f t="shared" si="0"/>
        <v>1.1478832629186972E-23</v>
      </c>
    </row>
    <row r="37" spans="5:6" ht="15" customHeight="1">
      <c r="E37" s="2">
        <v>25</v>
      </c>
      <c r="F37" s="8">
        <f t="shared" si="0"/>
        <v>1.5305110172249297E-24</v>
      </c>
    </row>
    <row r="38" spans="5:6" ht="15" customHeight="1">
      <c r="E38" s="2">
        <v>26</v>
      </c>
      <c r="F38" s="8">
        <f t="shared" si="0"/>
        <v>2.0406813562999067E-25</v>
      </c>
    </row>
    <row r="39" spans="5:6" ht="15" customHeight="1">
      <c r="E39" s="2">
        <v>27</v>
      </c>
      <c r="F39" s="8">
        <f t="shared" si="0"/>
        <v>2.7209084750665425E-26</v>
      </c>
    </row>
    <row r="40" spans="5:6" ht="15" customHeight="1">
      <c r="E40" s="2">
        <v>28</v>
      </c>
      <c r="F40" s="8">
        <f t="shared" si="0"/>
        <v>3.6278779667553911E-27</v>
      </c>
    </row>
    <row r="41" spans="5:6" ht="15" customHeight="1">
      <c r="E41" s="2">
        <v>29</v>
      </c>
      <c r="F41" s="8">
        <f t="shared" si="0"/>
        <v>4.8371706223405219E-28</v>
      </c>
    </row>
    <row r="42" spans="5:6" ht="15" customHeight="1">
      <c r="E42" s="2">
        <v>30</v>
      </c>
      <c r="F42" s="8">
        <f t="shared" si="0"/>
        <v>6.4495608297873622E-29</v>
      </c>
    </row>
    <row r="43" spans="5:6" ht="15" customHeight="1">
      <c r="F43" s="8"/>
    </row>
    <row r="44" spans="5:6" ht="15" customHeight="1">
      <c r="F44" s="8"/>
    </row>
    <row r="45" spans="5:6" ht="15" customHeight="1">
      <c r="F45" s="8"/>
    </row>
    <row r="46" spans="5:6">
      <c r="F46" s="8"/>
    </row>
    <row r="47" spans="5:6">
      <c r="F47" s="8"/>
    </row>
    <row r="49" spans="6:6">
      <c r="F49" s="8"/>
    </row>
    <row r="51" spans="6:6">
      <c r="F51" s="8"/>
    </row>
  </sheetData>
  <phoneticPr fontId="0" type="noConversion"/>
  <printOptions horizontalCentered="1" verticalCentered="1" headings="1" gridLines="1" gridLinesSet="0"/>
  <pageMargins left="0.75" right="0.75" top="1" bottom="1" header="0.5" footer="0.5"/>
  <pageSetup scale="67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Line="0" autoPict="0" macro="[0]!SteadyStateCalcs">
                <anchor moveWithCells="1" sizeWithCells="1">
                  <from>
                    <xdr:col>4</xdr:col>
                    <xdr:colOff>368300</xdr:colOff>
                    <xdr:row>3</xdr:row>
                    <xdr:rowOff>139700</xdr:rowOff>
                  </from>
                  <to>
                    <xdr:col>5</xdr:col>
                    <xdr:colOff>914400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Example Background</vt:lpstr>
      <vt:lpstr>Model</vt:lpstr>
      <vt:lpstr>Model!Print_Area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 School of Business</dc:creator>
  <cp:lastModifiedBy>Microsoft Office User</cp:lastModifiedBy>
  <cp:lastPrinted>2010-08-02T15:33:15Z</cp:lastPrinted>
  <dcterms:created xsi:type="dcterms:W3CDTF">1998-02-25T13:56:20Z</dcterms:created>
  <dcterms:modified xsi:type="dcterms:W3CDTF">2020-07-18T14:54:15Z</dcterms:modified>
</cp:coreProperties>
</file>