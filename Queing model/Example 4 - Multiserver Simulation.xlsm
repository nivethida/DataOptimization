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3.xml" ContentType="application/vnd.ms-excel.controlproperties+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713" codeName="{801CCD77-7B78-1753-DF39-40050F3742D7}"/>
  <workbookPr codeName="ThisWorkbook" checkCompatibility="1"/>
  <mc:AlternateContent xmlns:mc="http://schemas.openxmlformats.org/markup-compatibility/2006">
    <mc:Choice Requires="x15">
      <x15ac:absPath xmlns:x15ac="http://schemas.microsoft.com/office/spreadsheetml/2010/11/ac" url="/Users/nivethida/Documents/Summer Session/Data Optimization/Queing model/"/>
    </mc:Choice>
  </mc:AlternateContent>
  <xr:revisionPtr revIDLastSave="0" documentId="13_ncr:1_{E9FBDDF2-49BB-A247-A117-2BCB5BAE6BFA}" xr6:coauthVersionLast="45" xr6:coauthVersionMax="45" xr10:uidLastSave="{00000000-0000-0000-0000-000000000000}"/>
  <bookViews>
    <workbookView xWindow="400" yWindow="460" windowWidth="27500" windowHeight="15920" activeTab="3" xr2:uid="{00000000-000D-0000-FFFF-FFFF00000000}"/>
  </bookViews>
  <sheets>
    <sheet name="Explanation" sheetId="1" r:id="rId1"/>
    <sheet name="ReportTemplate" sheetId="3" state="veryHidden" r:id="rId2"/>
    <sheet name="Report_1" sheetId="4" r:id="rId3"/>
    <sheet name="Report_2" sheetId="5" r:id="rId4"/>
  </sheets>
  <functionGroups builtInGroupCount="19"/>
  <definedNames>
    <definedName name="_AtRisk_SimSetting_AutomaticallyGenerateReports" hidden="1">FALSE</definedName>
    <definedName name="_AtRisk_SimSetting_AutomaticResultsDisplayMode" hidden="1">2</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DemoMode" hidden="1">FALSE</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Alpha" localSheetId="2">#REF!</definedName>
    <definedName name="Alpha">#REF!</definedName>
    <definedName name="ArriveRate" localSheetId="2">Report_1!$B$6</definedName>
    <definedName name="ArriveRate" localSheetId="3">Report_2!$B$6</definedName>
    <definedName name="ArriveRate">ReportTemplate!$B$6</definedName>
    <definedName name="AvgDelay" localSheetId="2">Report_1!$B$20</definedName>
    <definedName name="AvgDelay" localSheetId="3">Report_2!$B$20</definedName>
    <definedName name="AvgDelay">ReportTemplate!$B$20</definedName>
    <definedName name="AvgNumInQ" localSheetId="2">Report_1!$B$22</definedName>
    <definedName name="AvgNumInQ" localSheetId="3">Report_2!$B$22</definedName>
    <definedName name="AvgNumInQ">ReportTemplate!$B$22</definedName>
    <definedName name="AvgNumInSys" localSheetId="2">Report_1!$B$27</definedName>
    <definedName name="AvgNumInSys" localSheetId="3">Report_2!$B$27</definedName>
    <definedName name="AvgNumInSys">ReportTemplate!$B$27</definedName>
    <definedName name="AvgSysTime" localSheetId="2">Report_1!$B$25</definedName>
    <definedName name="AvgSysTime" localSheetId="3">Report_2!$B$25</definedName>
    <definedName name="AvgSysTime">ReportTemplate!$B$25</definedName>
    <definedName name="Beeta" localSheetId="2">#REF!</definedName>
    <definedName name="Beeta">#REF!</definedName>
    <definedName name="Dist" localSheetId="2">Report_1!$B$9</definedName>
    <definedName name="Dist" localSheetId="3">Report_2!$B$9</definedName>
    <definedName name="Dist">ReportTemplate!$B$9</definedName>
    <definedName name="FinalTime" localSheetId="2">Report_1!#REF!</definedName>
    <definedName name="FinalTime" localSheetId="3">Report_2!#REF!</definedName>
    <definedName name="FinalTime">ReportTemplate!#REF!</definedName>
    <definedName name="FractLost" localSheetId="2">Report_1!$B$34</definedName>
    <definedName name="FractLost" localSheetId="3">Report_2!$B$34</definedName>
    <definedName name="FractLost">ReportTemplate!$B$34</definedName>
    <definedName name="Inputs" localSheetId="2">Report_1!$B$5:$C$15</definedName>
    <definedName name="Inputs" localSheetId="3">Report_2!$B$5:$C$15</definedName>
    <definedName name="Inputs">ReportTemplate!$B$5:$C$15</definedName>
    <definedName name="MaxDelay" localSheetId="2">Report_1!$B$21</definedName>
    <definedName name="MaxDelay" localSheetId="3">Report_2!$B$21</definedName>
    <definedName name="MaxDelay">ReportTemplate!$B$21</definedName>
    <definedName name="MaxInQ" localSheetId="2">Report_1!$B$13</definedName>
    <definedName name="MaxInQ" localSheetId="3">Report_2!$B$13</definedName>
    <definedName name="MaxInQ">ReportTemplate!$B$13</definedName>
    <definedName name="MaxInSys" localSheetId="2">Report_1!$B$28</definedName>
    <definedName name="MaxInSys" localSheetId="3">Report_2!$B$28</definedName>
    <definedName name="MaxInSys">ReportTemplate!$B$28</definedName>
    <definedName name="MaxQ" localSheetId="2">Report_1!$B$23</definedName>
    <definedName name="MaxQ" localSheetId="3">Report_2!$B$23</definedName>
    <definedName name="MaxQ">ReportTemplate!$B$23</definedName>
    <definedName name="MaxSysTime" localSheetId="2">Report_1!$B$26</definedName>
    <definedName name="MaxSysTime" localSheetId="3">Report_2!$B$26</definedName>
    <definedName name="MaxSysTime">ReportTemplate!$B$26</definedName>
    <definedName name="MeanIATime" localSheetId="2">Report_1!$B$7</definedName>
    <definedName name="MeanIATime" localSheetId="3">Report_2!$B$7</definedName>
    <definedName name="MeanIATime">ReportTemplate!$B$7</definedName>
    <definedName name="MeanServeTime" localSheetId="2">Report_1!$B$10</definedName>
    <definedName name="MeanServeTime" localSheetId="3">Report_2!$B$10</definedName>
    <definedName name="MeanServeTime">ReportTemplate!$B$10</definedName>
    <definedName name="NCusts" localSheetId="2">Report_1!$B$32</definedName>
    <definedName name="NCusts" localSheetId="3">Report_2!$B$32</definedName>
    <definedName name="NCusts">ReportTemplate!$B$32</definedName>
    <definedName name="NLost" localSheetId="2">Report_1!$B$33</definedName>
    <definedName name="NLost" localSheetId="3">Report_2!$B$33</definedName>
    <definedName name="NLost">ReportTemplate!$B$33</definedName>
    <definedName name="NServers" localSheetId="2">Report_1!$B$8</definedName>
    <definedName name="NServers" localSheetId="3">Report_2!$B$8</definedName>
    <definedName name="NServers">ReportTemplate!$B$8</definedName>
    <definedName name="NumCusts" localSheetId="2">Report_1!$B$32</definedName>
    <definedName name="NumCusts" localSheetId="3">Report_2!$B$32</definedName>
    <definedName name="NumCusts">ReportTemplate!$B$32</definedName>
    <definedName name="NumInQ" localSheetId="2">Report_1!$A$38:$A$40</definedName>
    <definedName name="NumInQ" localSheetId="3">Report_2!$A$38</definedName>
    <definedName name="NumInQ">ReportTemplate!$A$38:$A$42</definedName>
    <definedName name="NumInQ1" localSheetId="2">Report_1!$A$38</definedName>
    <definedName name="NumInQ1" localSheetId="3">Report_2!$A$38</definedName>
    <definedName name="NumInQ1">ReportTemplate!$A$38</definedName>
    <definedName name="NumLost" localSheetId="2">Report_1!$B$33</definedName>
    <definedName name="NumLost" localSheetId="3">Report_2!$B$33</definedName>
    <definedName name="NumLost">ReportTemplate!$B$33</definedName>
    <definedName name="Outputs" localSheetId="2">Report_1!$B$23,Report_1!$B$31:$B$33,Report_1!$B$36:$B$37,Report_1!$E$28:$E$30,Report_1!$E$33:$E$35,Report_1!$E$38:$E$39,Report_1!$B$20:$B$20</definedName>
    <definedName name="Outputs" localSheetId="3">Report_2!$B$23,Report_2!$B$31:$B$33,Report_2!$B$36:$B$37,Report_2!$E$28:$E$30,Report_2!$E$33:$E$35,Report_2!$E$38:$E$39,Report_2!$B$20:$B$20</definedName>
    <definedName name="Outputs">ReportTemplate!$B$23,ReportTemplate!$B$31:$B$33,ReportTemplate!$B$36:$B$37,ReportTemplate!$E$28:$E$30,ReportTemplate!$E$33:$E$35,ReportTemplate!$E$38:$E$39,ReportTemplate!$B$20:$B$20</definedName>
    <definedName name="RanSeed" localSheetId="2">Report_1!$B$16</definedName>
    <definedName name="RanSeed" localSheetId="3">Report_2!$B$16</definedName>
    <definedName name="RanSeed">ReportTemplate!$B$16</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3</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UpdateDisplay" hidden="1">FALSE</definedName>
    <definedName name="RiskUseDifferentSeedForEachSim" hidden="1">FALSE</definedName>
    <definedName name="RiskUseFixedSeed" hidden="1">FALSE</definedName>
    <definedName name="RiskUseMultipleCPUs" hidden="1">TRUE</definedName>
    <definedName name="RunTime" localSheetId="2">Report_1!$B$15</definedName>
    <definedName name="RunTime" localSheetId="3">Report_2!$B$15</definedName>
    <definedName name="RunTime">ReportTemplate!$B$15</definedName>
    <definedName name="ServeRate" localSheetId="2">Report_1!$B$12</definedName>
    <definedName name="ServeRate" localSheetId="3">Report_2!$B$12</definedName>
    <definedName name="ServeRate">ReportTemplate!$B$12</definedName>
    <definedName name="SSAvgDelay" localSheetId="2">Report_1!$D$19</definedName>
    <definedName name="SSAvgDelay" localSheetId="3">Report_2!$D$19</definedName>
    <definedName name="SSAvgDelay">ReportTemplate!$D$19</definedName>
    <definedName name="SSNumInQ" localSheetId="2">Report_1!$D$21</definedName>
    <definedName name="SSNumInQ" localSheetId="3">Report_2!$D$21</definedName>
    <definedName name="SSNumInQ">ReportTemplate!$D$21</definedName>
    <definedName name="SSUtil" localSheetId="2">Report_1!#REF!</definedName>
    <definedName name="SSUtil" localSheetId="3">Report_2!#REF!</definedName>
    <definedName name="SSUtil">ReportTemplate!#REF!</definedName>
    <definedName name="StdevServeTime" localSheetId="2">Report_1!$B$11</definedName>
    <definedName name="StdevServeTime" localSheetId="3">Report_2!$B$11</definedName>
    <definedName name="StdevServeTime">ReportTemplate!$B$11</definedName>
    <definedName name="TimeInQ" localSheetId="2">Report_1!$B$38:$B$40</definedName>
    <definedName name="TimeInQ" localSheetId="3">Report_2!$B$38</definedName>
    <definedName name="TimeInQ">ReportTemplate!$B$38:$B$42</definedName>
    <definedName name="TimeInQ1" localSheetId="2">Report_1!#REF!</definedName>
    <definedName name="TimeInQ1" localSheetId="3">Report_2!#REF!</definedName>
    <definedName name="TimeInQ1">ReportTemplate!#REF!</definedName>
    <definedName name="TimeUnit" localSheetId="2">Report_1!$B$5</definedName>
    <definedName name="TimeUnit" localSheetId="3">Report_2!$B$5</definedName>
    <definedName name="TimeUnit">ReportTemplate!$B$5</definedName>
    <definedName name="Util" localSheetId="2">Report_1!$B$30</definedName>
    <definedName name="Util" localSheetId="3">Report_2!$B$30</definedName>
    <definedName name="Util">ReportTemplate!$B$30</definedName>
    <definedName name="WarmupTime" localSheetId="2">Report_1!$B$14</definedName>
    <definedName name="WarmupTime" localSheetId="3">Report_2!$B$14</definedName>
    <definedName name="WarmupTime">ReportTemplate!$B$14</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6" i="5" l="1"/>
  <c r="C25" i="5"/>
  <c r="C21" i="5"/>
  <c r="C20" i="5"/>
  <c r="C15" i="5"/>
  <c r="C14" i="5"/>
  <c r="C12" i="5"/>
  <c r="C11" i="5"/>
  <c r="C10" i="5"/>
  <c r="C7" i="5"/>
  <c r="C6" i="5"/>
  <c r="C26" i="4" l="1"/>
  <c r="C25" i="4"/>
  <c r="C21" i="4"/>
  <c r="C20" i="4"/>
  <c r="C15" i="4"/>
  <c r="C14" i="4"/>
  <c r="C12" i="4"/>
  <c r="C11" i="4"/>
  <c r="C10" i="4"/>
  <c r="C7" i="4"/>
  <c r="C6" i="4"/>
  <c r="C26" i="3" l="1"/>
  <c r="C25" i="3"/>
  <c r="C21" i="3"/>
  <c r="C20" i="3"/>
  <c r="C14" i="3"/>
  <c r="C11" i="3"/>
  <c r="C10" i="3"/>
  <c r="C7" i="3"/>
  <c r="C12" i="3"/>
  <c r="C6" i="3"/>
  <c r="C15" i="3"/>
</calcChain>
</file>

<file path=xl/sharedStrings.xml><?xml version="1.0" encoding="utf-8"?>
<sst xmlns="http://schemas.openxmlformats.org/spreadsheetml/2006/main" count="100" uniqueCount="35">
  <si>
    <t>Multiserver Queueing System</t>
  </si>
  <si>
    <t>Multiple Server Queueing Simulation</t>
  </si>
  <si>
    <t>Inputs</t>
  </si>
  <si>
    <t>Time unit</t>
  </si>
  <si>
    <t>Customer arrival rate</t>
  </si>
  <si>
    <t>Mean time between arrivals</t>
  </si>
  <si>
    <t>Number of servers</t>
  </si>
  <si>
    <t>Simulation run time</t>
  </si>
  <si>
    <t>Simulation Outputs</t>
  </si>
  <si>
    <t>Average time in queue per customer</t>
  </si>
  <si>
    <t>Maximum time a customer was in queue</t>
  </si>
  <si>
    <t>Average number of customers in queue</t>
  </si>
  <si>
    <t>Maximum number in queue</t>
  </si>
  <si>
    <t>Fraction of time each server is busy</t>
  </si>
  <si>
    <t>Number of customers processed</t>
  </si>
  <si>
    <t>Number of customers turned away</t>
  </si>
  <si>
    <t>Fraction of customers turned away</t>
  </si>
  <si>
    <t>Probability distribution of number in queue</t>
  </si>
  <si>
    <t>Number in queue</t>
  </si>
  <si>
    <t>% of time</t>
  </si>
  <si>
    <t>Service time distribution</t>
  </si>
  <si>
    <t>Stdev of service times</t>
  </si>
  <si>
    <t>Maximum allowed in queue</t>
  </si>
  <si>
    <t>Mean service time</t>
  </si>
  <si>
    <t>customers</t>
  </si>
  <si>
    <t>Service rate for system</t>
  </si>
  <si>
    <t>Average time in system per customer</t>
  </si>
  <si>
    <t>Maximum time a customer was in system</t>
  </si>
  <si>
    <t>Average number of customers in system</t>
  </si>
  <si>
    <t>Maximum number in system</t>
  </si>
  <si>
    <t>Simulation warmup time</t>
  </si>
  <si>
    <t>Random number seed</t>
  </si>
  <si>
    <t>minute</t>
  </si>
  <si>
    <t>Exponential</t>
  </si>
  <si>
    <t>hour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</si>
</sst>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7">
    <font>
      <sz val="10"/>
      <name val="Arial"/>
    </font>
    <font>
      <sz val="10"/>
      <name val="Arial"/>
      <family val="2"/>
    </font>
    <font>
      <sz val="11"/>
      <name val="Calibri"/>
      <family val="2"/>
      <scheme val="minor"/>
    </font>
    <font>
      <b/>
      <sz val="11"/>
      <name val="Calibri"/>
      <family val="2"/>
      <scheme val="minor"/>
    </font>
    <font>
      <b/>
      <sz val="11"/>
      <color indexed="10"/>
      <name val="Calibri"/>
      <family val="2"/>
      <scheme val="minor"/>
    </font>
    <font>
      <b/>
      <sz val="14"/>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2">
    <xf numFmtId="0" fontId="0" fillId="0" borderId="0"/>
    <xf numFmtId="9" fontId="1" fillId="0" borderId="0" applyFont="0" applyFill="0" applyBorder="0" applyAlignment="0" applyProtection="0"/>
  </cellStyleXfs>
  <cellXfs count="26">
    <xf numFmtId="0" fontId="0" fillId="0" borderId="0" xfId="0"/>
    <xf numFmtId="0" fontId="3" fillId="0" borderId="0" xfId="0" applyFont="1" applyFill="1" applyProtection="1">
      <protection locked="0"/>
    </xf>
    <xf numFmtId="0" fontId="2" fillId="0" borderId="0" xfId="0" applyFont="1" applyFill="1" applyProtection="1">
      <protection locked="0"/>
    </xf>
    <xf numFmtId="0" fontId="2" fillId="0" borderId="0" xfId="0" applyFont="1" applyFill="1" applyBorder="1" applyAlignment="1" applyProtection="1">
      <alignment horizontal="right"/>
    </xf>
    <xf numFmtId="0" fontId="2" fillId="0" borderId="0" xfId="0" applyFont="1" applyFill="1" applyBorder="1" applyAlignment="1" applyProtection="1">
      <alignment horizontal="left" indent="1"/>
    </xf>
    <xf numFmtId="165" fontId="2" fillId="0" borderId="0" xfId="0" applyNumberFormat="1" applyFont="1" applyFill="1" applyBorder="1" applyAlignment="1" applyProtection="1">
      <alignment horizontal="right"/>
    </xf>
    <xf numFmtId="0" fontId="2" fillId="0" borderId="0" xfId="0" applyFont="1" applyFill="1" applyBorder="1" applyAlignment="1" applyProtection="1">
      <alignment horizontal="center"/>
    </xf>
    <xf numFmtId="1" fontId="2" fillId="0" borderId="0" xfId="0" applyNumberFormat="1" applyFont="1" applyFill="1" applyBorder="1" applyAlignment="1" applyProtection="1">
      <alignment horizontal="right"/>
    </xf>
    <xf numFmtId="0" fontId="3" fillId="0" borderId="0" xfId="0" applyFont="1" applyFill="1" applyAlignment="1" applyProtection="1">
      <alignment vertical="center"/>
      <protection locked="0"/>
    </xf>
    <xf numFmtId="0" fontId="4" fillId="0" borderId="0" xfId="0" applyFont="1" applyFill="1" applyAlignment="1" applyProtection="1">
      <alignment horizontal="right" wrapText="1"/>
      <protection locked="0"/>
    </xf>
    <xf numFmtId="2" fontId="2" fillId="0" borderId="0" xfId="0" applyNumberFormat="1" applyFont="1" applyFill="1" applyAlignment="1" applyProtection="1">
      <protection locked="0"/>
    </xf>
    <xf numFmtId="4" fontId="2" fillId="0" borderId="0" xfId="0" applyNumberFormat="1" applyFont="1" applyFill="1" applyProtection="1">
      <protection locked="0"/>
    </xf>
    <xf numFmtId="2" fontId="2" fillId="0" borderId="0" xfId="0" applyNumberFormat="1" applyFont="1" applyFill="1" applyProtection="1">
      <protection locked="0"/>
    </xf>
    <xf numFmtId="1" fontId="2" fillId="0" borderId="0" xfId="0" applyNumberFormat="1" applyFont="1" applyFill="1" applyProtection="1">
      <protection locked="0"/>
    </xf>
    <xf numFmtId="10" fontId="2" fillId="0" borderId="0" xfId="0" applyNumberFormat="1" applyFont="1" applyFill="1" applyProtection="1">
      <protection locked="0"/>
    </xf>
    <xf numFmtId="164" fontId="2" fillId="0" borderId="0" xfId="1" applyNumberFormat="1" applyFont="1" applyFill="1" applyProtection="1">
      <protection locked="0"/>
    </xf>
    <xf numFmtId="0" fontId="2" fillId="0" borderId="0" xfId="0" applyFont="1" applyFill="1" applyAlignment="1" applyProtection="1">
      <alignment horizontal="right" wrapText="1"/>
      <protection locked="0"/>
    </xf>
    <xf numFmtId="164" fontId="2" fillId="0" borderId="0" xfId="1" applyNumberFormat="1" applyFont="1" applyFill="1" applyAlignment="1" applyProtection="1">
      <alignment horizontal="right" wrapText="1"/>
      <protection locked="0"/>
    </xf>
    <xf numFmtId="0" fontId="2" fillId="0" borderId="0" xfId="0" applyFont="1" applyFill="1" applyAlignment="1" applyProtection="1">
      <alignment horizontal="right"/>
      <protection locked="0"/>
    </xf>
    <xf numFmtId="10" fontId="2" fillId="0" borderId="0" xfId="1" applyNumberFormat="1" applyFont="1" applyFill="1" applyProtection="1">
      <protection locked="0"/>
    </xf>
    <xf numFmtId="0" fontId="2" fillId="0" borderId="0" xfId="0" applyFont="1" applyFill="1"/>
    <xf numFmtId="0" fontId="3" fillId="0" borderId="0" xfId="0" applyFont="1" applyFill="1" applyAlignment="1">
      <alignment horizontal="center"/>
    </xf>
    <xf numFmtId="0" fontId="5" fillId="0" borderId="0" xfId="0" applyFont="1" applyFill="1" applyAlignment="1">
      <alignment horizontal="center"/>
    </xf>
    <xf numFmtId="0" fontId="4" fillId="0" borderId="0" xfId="0" applyFont="1" applyFill="1" applyAlignment="1">
      <alignment horizontal="centerContinuous"/>
    </xf>
    <xf numFmtId="0" fontId="2" fillId="0" borderId="0" xfId="0" applyFont="1" applyFill="1" applyAlignment="1">
      <alignment horizontal="centerContinuous"/>
    </xf>
    <xf numFmtId="0" fontId="3" fillId="0" borderId="0" xfId="0" applyFont="1" applyFill="1"/>
  </cellXfs>
  <cellStyles count="2">
    <cellStyle name="Normal" xfId="0" builtinId="0"/>
    <cellStyle name="Per cent" xfId="1"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Distribution of Number in Queue</a:t>
            </a:r>
          </a:p>
        </c:rich>
      </c:tx>
      <c:overlay val="0"/>
    </c:title>
    <c:autoTitleDeleted val="0"/>
    <c:plotArea>
      <c:layout/>
      <c:barChart>
        <c:barDir val="col"/>
        <c:grouping val="clustered"/>
        <c:varyColors val="0"/>
        <c:ser>
          <c:idx val="0"/>
          <c:order val="0"/>
          <c:tx>
            <c:strRef>
              <c:f>ReportTemplate!$A$1:$A$2</c:f>
              <c:strCache>
                <c:ptCount val="2"/>
                <c:pt idx="0">
                  <c:v>Multiple Server Queueing Simulation</c:v>
                </c:pt>
              </c:strCache>
            </c:strRef>
          </c:tx>
          <c:invertIfNegative val="0"/>
          <c:val>
            <c:numRef>
              <c:f>ReportTemplate!$A$3</c:f>
              <c:numCache>
                <c:formatCode>General</c:formatCode>
                <c:ptCount val="1"/>
                <c:pt idx="0">
                  <c:v>0</c:v>
                </c:pt>
              </c:numCache>
            </c:numRef>
          </c:val>
          <c:extLst>
            <c:ext xmlns:c16="http://schemas.microsoft.com/office/drawing/2014/chart" uri="{C3380CC4-5D6E-409C-BE32-E72D297353CC}">
              <c16:uniqueId val="{00000000-10A8-8E48-80C3-4B3FD61ED5AC}"/>
            </c:ext>
          </c:extLst>
        </c:ser>
        <c:dLbls>
          <c:showLegendKey val="0"/>
          <c:showVal val="0"/>
          <c:showCatName val="0"/>
          <c:showSerName val="0"/>
          <c:showPercent val="0"/>
          <c:showBubbleSize val="0"/>
        </c:dLbls>
        <c:gapWidth val="150"/>
        <c:axId val="785421416"/>
        <c:axId val="785420632"/>
      </c:barChart>
      <c:catAx>
        <c:axId val="785421416"/>
        <c:scaling>
          <c:orientation val="minMax"/>
        </c:scaling>
        <c:delete val="0"/>
        <c:axPos val="b"/>
        <c:title>
          <c:tx>
            <c:rich>
              <a:bodyPr/>
              <a:lstStyle/>
              <a:p>
                <a:pPr>
                  <a:defRPr/>
                </a:pPr>
                <a:r>
                  <a:rPr lang="en-US"/>
                  <a:t>Number in Queue</a:t>
                </a:r>
              </a:p>
            </c:rich>
          </c:tx>
          <c:overlay val="0"/>
        </c:title>
        <c:majorTickMark val="out"/>
        <c:minorTickMark val="none"/>
        <c:tickLblPos val="nextTo"/>
        <c:crossAx val="785420632"/>
        <c:crosses val="autoZero"/>
        <c:auto val="1"/>
        <c:lblAlgn val="ctr"/>
        <c:lblOffset val="100"/>
        <c:noMultiLvlLbl val="0"/>
      </c:catAx>
      <c:valAx>
        <c:axId val="785420632"/>
        <c:scaling>
          <c:orientation val="minMax"/>
        </c:scaling>
        <c:delete val="0"/>
        <c:axPos val="l"/>
        <c:title>
          <c:tx>
            <c:rich>
              <a:bodyPr rot="-5400000" vert="horz"/>
              <a:lstStyle/>
              <a:p>
                <a:pPr>
                  <a:defRPr/>
                </a:pPr>
                <a:r>
                  <a:rPr lang="en-US"/>
                  <a:t>Percent of Time</a:t>
                </a:r>
              </a:p>
            </c:rich>
          </c:tx>
          <c:overlay val="0"/>
        </c:title>
        <c:numFmt formatCode="0.00%" sourceLinked="0"/>
        <c:majorTickMark val="out"/>
        <c:minorTickMark val="none"/>
        <c:tickLblPos val="nextTo"/>
        <c:crossAx val="785421416"/>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Distribution of Number in Queue</a:t>
            </a:r>
          </a:p>
        </c:rich>
      </c:tx>
      <c:overlay val="0"/>
    </c:title>
    <c:autoTitleDeleted val="0"/>
    <c:plotArea>
      <c:layout/>
      <c:barChart>
        <c:barDir val="col"/>
        <c:grouping val="clustered"/>
        <c:varyColors val="0"/>
        <c:ser>
          <c:idx val="0"/>
          <c:order val="0"/>
          <c:tx>
            <c:strRef>
              <c:f>Report_1!$A$1:$A$2</c:f>
              <c:strCache>
                <c:ptCount val="2"/>
                <c:pt idx="0">
                  <c:v>Multiple Server Queueing Simulation</c:v>
                </c:pt>
              </c:strCache>
            </c:strRef>
          </c:tx>
          <c:invertIfNegative val="0"/>
          <c:cat>
            <c:numRef>
              <c:f>Report_1!NumInQ</c:f>
              <c:numCache>
                <c:formatCode>General</c:formatCode>
                <c:ptCount val="3"/>
                <c:pt idx="0">
                  <c:v>0</c:v>
                </c:pt>
                <c:pt idx="1">
                  <c:v>1</c:v>
                </c:pt>
                <c:pt idx="2">
                  <c:v>2</c:v>
                </c:pt>
              </c:numCache>
            </c:numRef>
          </c:cat>
          <c:val>
            <c:numRef>
              <c:f>Report_1!TimeInQ</c:f>
              <c:numCache>
                <c:formatCode>0.00%</c:formatCode>
                <c:ptCount val="3"/>
                <c:pt idx="0">
                  <c:v>0.96559524536132812</c:v>
                </c:pt>
                <c:pt idx="1">
                  <c:v>1.6628664452582598E-3</c:v>
                </c:pt>
                <c:pt idx="2">
                  <c:v>1.3616388605441898E-4</c:v>
                </c:pt>
              </c:numCache>
            </c:numRef>
          </c:val>
          <c:extLst>
            <c:ext xmlns:c16="http://schemas.microsoft.com/office/drawing/2014/chart" uri="{C3380CC4-5D6E-409C-BE32-E72D297353CC}">
              <c16:uniqueId val="{00000000-B3C9-EE4A-AD8F-AAE243B285C0}"/>
            </c:ext>
          </c:extLst>
        </c:ser>
        <c:dLbls>
          <c:showLegendKey val="0"/>
          <c:showVal val="0"/>
          <c:showCatName val="0"/>
          <c:showSerName val="0"/>
          <c:showPercent val="0"/>
          <c:showBubbleSize val="0"/>
        </c:dLbls>
        <c:gapWidth val="150"/>
        <c:axId val="785422200"/>
        <c:axId val="785422592"/>
      </c:barChart>
      <c:catAx>
        <c:axId val="785422200"/>
        <c:scaling>
          <c:orientation val="minMax"/>
        </c:scaling>
        <c:delete val="0"/>
        <c:axPos val="b"/>
        <c:title>
          <c:tx>
            <c:rich>
              <a:bodyPr/>
              <a:lstStyle/>
              <a:p>
                <a:pPr>
                  <a:defRPr/>
                </a:pPr>
                <a:r>
                  <a:rPr lang="en-US"/>
                  <a:t>Number in Queue</a:t>
                </a:r>
              </a:p>
            </c:rich>
          </c:tx>
          <c:overlay val="0"/>
        </c:title>
        <c:numFmt formatCode="General" sourceLinked="1"/>
        <c:majorTickMark val="out"/>
        <c:minorTickMark val="none"/>
        <c:tickLblPos val="nextTo"/>
        <c:crossAx val="785422592"/>
        <c:crosses val="autoZero"/>
        <c:auto val="1"/>
        <c:lblAlgn val="ctr"/>
        <c:lblOffset val="100"/>
        <c:noMultiLvlLbl val="0"/>
      </c:catAx>
      <c:valAx>
        <c:axId val="785422592"/>
        <c:scaling>
          <c:orientation val="minMax"/>
        </c:scaling>
        <c:delete val="0"/>
        <c:axPos val="l"/>
        <c:title>
          <c:tx>
            <c:rich>
              <a:bodyPr rot="-5400000" vert="horz"/>
              <a:lstStyle/>
              <a:p>
                <a:pPr>
                  <a:defRPr/>
                </a:pPr>
                <a:r>
                  <a:rPr lang="en-US"/>
                  <a:t>Percent of Time</a:t>
                </a:r>
              </a:p>
            </c:rich>
          </c:tx>
          <c:overlay val="0"/>
        </c:title>
        <c:numFmt formatCode="0.00%" sourceLinked="0"/>
        <c:majorTickMark val="out"/>
        <c:minorTickMark val="none"/>
        <c:tickLblPos val="nextTo"/>
        <c:crossAx val="785422200"/>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Distribution of Number in Queue</a:t>
            </a:r>
          </a:p>
        </c:rich>
      </c:tx>
      <c:overlay val="0"/>
    </c:title>
    <c:autoTitleDeleted val="0"/>
    <c:plotArea>
      <c:layout>
        <c:manualLayout>
          <c:layoutTarget val="inner"/>
          <c:xMode val="edge"/>
          <c:yMode val="edge"/>
          <c:x val="0.17492013498312711"/>
          <c:y val="0.15209153035437134"/>
          <c:w val="0.81049019936337741"/>
          <c:h val="0.6249573490813648"/>
        </c:manualLayout>
      </c:layout>
      <c:barChart>
        <c:barDir val="col"/>
        <c:grouping val="clustered"/>
        <c:varyColors val="0"/>
        <c:ser>
          <c:idx val="0"/>
          <c:order val="0"/>
          <c:tx>
            <c:strRef>
              <c:f>Report_2!$A$1:$A$2</c:f>
              <c:strCache>
                <c:ptCount val="2"/>
                <c:pt idx="0">
                  <c:v>Multiple Server Queueing Simulation</c:v>
                </c:pt>
              </c:strCache>
            </c:strRef>
          </c:tx>
          <c:invertIfNegative val="0"/>
          <c:cat>
            <c:numRef>
              <c:f>Report_2!NumInQ</c:f>
              <c:numCache>
                <c:formatCode>General</c:formatCode>
                <c:ptCount val="1"/>
                <c:pt idx="0">
                  <c:v>0</c:v>
                </c:pt>
              </c:numCache>
            </c:numRef>
          </c:cat>
          <c:val>
            <c:numRef>
              <c:f>Report_2!TimeInQ</c:f>
              <c:numCache>
                <c:formatCode>0.00%</c:formatCode>
                <c:ptCount val="1"/>
                <c:pt idx="0">
                  <c:v>0.38756707310676575</c:v>
                </c:pt>
              </c:numCache>
            </c:numRef>
          </c:val>
          <c:extLst>
            <c:ext xmlns:c16="http://schemas.microsoft.com/office/drawing/2014/chart" uri="{C3380CC4-5D6E-409C-BE32-E72D297353CC}">
              <c16:uniqueId val="{00000000-4866-C94F-98D3-D7ADA0CF1085}"/>
            </c:ext>
          </c:extLst>
        </c:ser>
        <c:dLbls>
          <c:showLegendKey val="0"/>
          <c:showVal val="0"/>
          <c:showCatName val="0"/>
          <c:showSerName val="0"/>
          <c:showPercent val="0"/>
          <c:showBubbleSize val="0"/>
        </c:dLbls>
        <c:gapWidth val="150"/>
        <c:axId val="785421416"/>
        <c:axId val="785420632"/>
      </c:barChart>
      <c:catAx>
        <c:axId val="785421416"/>
        <c:scaling>
          <c:orientation val="minMax"/>
        </c:scaling>
        <c:delete val="0"/>
        <c:axPos val="b"/>
        <c:title>
          <c:tx>
            <c:rich>
              <a:bodyPr/>
              <a:lstStyle/>
              <a:p>
                <a:pPr>
                  <a:defRPr/>
                </a:pPr>
                <a:r>
                  <a:rPr lang="en-US"/>
                  <a:t>Number in Queue</a:t>
                </a:r>
              </a:p>
            </c:rich>
          </c:tx>
          <c:overlay val="0"/>
        </c:title>
        <c:numFmt formatCode="General" sourceLinked="1"/>
        <c:majorTickMark val="out"/>
        <c:minorTickMark val="none"/>
        <c:tickLblPos val="nextTo"/>
        <c:crossAx val="785420632"/>
        <c:crosses val="autoZero"/>
        <c:auto val="1"/>
        <c:lblAlgn val="ctr"/>
        <c:lblOffset val="100"/>
        <c:noMultiLvlLbl val="0"/>
      </c:catAx>
      <c:valAx>
        <c:axId val="785420632"/>
        <c:scaling>
          <c:orientation val="minMax"/>
        </c:scaling>
        <c:delete val="0"/>
        <c:axPos val="l"/>
        <c:title>
          <c:tx>
            <c:rich>
              <a:bodyPr rot="-5400000" vert="horz"/>
              <a:lstStyle/>
              <a:p>
                <a:pPr>
                  <a:defRPr/>
                </a:pPr>
                <a:r>
                  <a:rPr lang="en-US"/>
                  <a:t>Percent of Time</a:t>
                </a:r>
              </a:p>
            </c:rich>
          </c:tx>
          <c:overlay val="0"/>
        </c:title>
        <c:numFmt formatCode="0.00%" sourceLinked="0"/>
        <c:majorTickMark val="out"/>
        <c:minorTickMark val="none"/>
        <c:tickLblPos val="nextTo"/>
        <c:crossAx val="785421416"/>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3</xdr:col>
      <xdr:colOff>57150</xdr:colOff>
      <xdr:row>3</xdr:row>
      <xdr:rowOff>57149</xdr:rowOff>
    </xdr:from>
    <xdr:to>
      <xdr:col>14</xdr:col>
      <xdr:colOff>104775</xdr:colOff>
      <xdr:row>20</xdr:row>
      <xdr:rowOff>9525</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885950" y="676274"/>
          <a:ext cx="6753225" cy="3190876"/>
        </a:xfrm>
        <a:prstGeom prst="round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wrap="square" rtlCol="0" anchor="t"/>
        <a:lstStyle/>
        <a:p>
          <a:pPr rtl="0"/>
          <a:r>
            <a:rPr lang="en-US" sz="1100" b="0" i="0">
              <a:solidFill>
                <a:schemeClr val="dk1"/>
              </a:solidFill>
              <a:latin typeface="+mn-lt"/>
              <a:ea typeface="+mn-ea"/>
              <a:cs typeface="+mn-cs"/>
            </a:rPr>
            <a:t>This application simulates a multi-server queueing system, such as at a bank, where arriving customers wait in a single line for the first available server. The system starts in the "empty and idle" state and runs for a user-specified amount of time. You must specify the arrival rate, the service rate per server, the number of (identical) servers, and the maximum number of customers allowed in the system. (If a customer arrives when the system is full, this customer leaves.) The service time distribution can be constant (no randomness), exponential, or gamma. (If you use the gamma distribution, you must also</a:t>
          </a:r>
          <a:r>
            <a:rPr lang="en-US" sz="1100" b="0" i="0" baseline="0">
              <a:solidFill>
                <a:schemeClr val="dk1"/>
              </a:solidFill>
              <a:latin typeface="+mn-lt"/>
              <a:ea typeface="+mn-ea"/>
              <a:cs typeface="+mn-cs"/>
            </a:rPr>
            <a:t> specify </a:t>
          </a:r>
          <a:r>
            <a:rPr lang="en-US" sz="1100" b="0" i="0">
              <a:solidFill>
                <a:schemeClr val="dk1"/>
              </a:solidFill>
              <a:latin typeface="+mn-lt"/>
              <a:ea typeface="+mn-ea"/>
              <a:cs typeface="+mn-cs"/>
            </a:rPr>
            <a:t>the standard deviation of the service time.) You also need to specify a warmup time and a run time. The simulation occurs during both of these times, but statistics are collected only during the run time.</a:t>
          </a:r>
          <a:endParaRPr lang="en-US"/>
        </a:p>
        <a:p>
          <a:pPr rtl="0"/>
          <a:endParaRPr lang="en-US" sz="1100" b="0" i="0">
            <a:solidFill>
              <a:schemeClr val="dk1"/>
            </a:solidFill>
            <a:latin typeface="+mn-lt"/>
            <a:ea typeface="+mn-ea"/>
            <a:cs typeface="+mn-cs"/>
          </a:endParaRPr>
        </a:p>
        <a:p>
          <a:pPr rtl="0"/>
          <a:r>
            <a:rPr lang="en-US" sz="1100" b="0" i="0">
              <a:solidFill>
                <a:schemeClr val="dk1"/>
              </a:solidFill>
              <a:latin typeface="+mn-lt"/>
              <a:ea typeface="+mn-ea"/>
              <a:cs typeface="+mn-cs"/>
            </a:rPr>
            <a:t>You can easily run several simulations with the same or different inputs. Each analysis is shown, along with its inputs, in a separate Report sheet: Report_1, Report_2, and so on. For each run, you are asked for new inputs in a pair of dialog boxes. For  convenience, the "default" values shown in these dialog boxes after the first run are those from the </a:t>
          </a:r>
          <a:r>
            <a:rPr lang="en-US" sz="1100" b="0" i="1">
              <a:solidFill>
                <a:schemeClr val="dk1"/>
              </a:solidFill>
              <a:latin typeface="+mn-lt"/>
              <a:ea typeface="+mn-ea"/>
              <a:cs typeface="+mn-cs"/>
            </a:rPr>
            <a:t>previous</a:t>
          </a:r>
          <a:r>
            <a:rPr lang="en-US" sz="1100" b="0" i="0">
              <a:solidFill>
                <a:schemeClr val="dk1"/>
              </a:solidFill>
              <a:latin typeface="+mn-lt"/>
              <a:ea typeface="+mn-ea"/>
              <a:cs typeface="+mn-cs"/>
            </a:rPr>
            <a:t> run, which you can then modify as you like.</a:t>
          </a:r>
          <a:endParaRPr lang="en-US"/>
        </a:p>
        <a:p>
          <a:pPr rtl="0"/>
          <a:endParaRPr lang="en-US" sz="1100" b="0" i="0">
            <a:solidFill>
              <a:schemeClr val="dk1"/>
            </a:solidFill>
            <a:latin typeface="+mn-lt"/>
            <a:ea typeface="+mn-ea"/>
            <a:cs typeface="+mn-cs"/>
          </a:endParaRPr>
        </a:p>
        <a:p>
          <a:pPr rtl="0"/>
          <a:r>
            <a:rPr lang="en-US" sz="1100" b="0" i="0">
              <a:solidFill>
                <a:schemeClr val="dk1"/>
              </a:solidFill>
              <a:latin typeface="+mn-lt"/>
              <a:ea typeface="+mn-ea"/>
              <a:cs typeface="+mn-cs"/>
            </a:rPr>
            <a:t>We suggest that you store this file somewhere safe and then, as you run simulations, save your modified files under different names. That way, you can always start with this original version.</a:t>
          </a:r>
          <a:endParaRPr lang="en-US"/>
        </a:p>
        <a:p>
          <a:endParaRPr lang="en-US" sz="1100"/>
        </a:p>
      </xdr:txBody>
    </xdr:sp>
    <xdr:clientData/>
  </xdr:twoCellAnchor>
  <mc:AlternateContent xmlns:mc="http://schemas.openxmlformats.org/markup-compatibility/2006">
    <mc:Choice xmlns:a14="http://schemas.microsoft.com/office/drawing/2010/main" Requires="a14">
      <xdr:twoCellAnchor>
        <xdr:from>
          <xdr:col>7</xdr:col>
          <xdr:colOff>76200</xdr:colOff>
          <xdr:row>21</xdr:row>
          <xdr:rowOff>88900</xdr:rowOff>
        </xdr:from>
        <xdr:to>
          <xdr:col>9</xdr:col>
          <xdr:colOff>368300</xdr:colOff>
          <xdr:row>23</xdr:row>
          <xdr:rowOff>63500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Run the simulation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466725</xdr:colOff>
      <xdr:row>35</xdr:row>
      <xdr:rowOff>28575</xdr:rowOff>
    </xdr:from>
    <xdr:to>
      <xdr:col>8</xdr:col>
      <xdr:colOff>533400</xdr:colOff>
      <xdr:row>49</xdr:row>
      <xdr:rowOff>104775</xdr:rowOff>
    </xdr:to>
    <xdr:graphicFrame macro="">
      <xdr:nvGraphicFramePr>
        <xdr:cNvPr id="2" name="QChart">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466725</xdr:colOff>
      <xdr:row>35</xdr:row>
      <xdr:rowOff>28575</xdr:rowOff>
    </xdr:from>
    <xdr:to>
      <xdr:col>8</xdr:col>
      <xdr:colOff>533400</xdr:colOff>
      <xdr:row>49</xdr:row>
      <xdr:rowOff>104775</xdr:rowOff>
    </xdr:to>
    <xdr:graphicFrame macro="">
      <xdr:nvGraphicFramePr>
        <xdr:cNvPr id="2" name="QChart">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5</xdr:col>
          <xdr:colOff>292100</xdr:colOff>
          <xdr:row>3</xdr:row>
          <xdr:rowOff>139700</xdr:rowOff>
        </xdr:from>
        <xdr:to>
          <xdr:col>8</xdr:col>
          <xdr:colOff>558800</xdr:colOff>
          <xdr:row>5</xdr:row>
          <xdr:rowOff>177800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Run another simulation</a:t>
              </a:r>
            </a:p>
          </xdr:txBody>
        </xdr:sp>
        <xdr:clientData fPrintsWithSheet="0"/>
      </xdr:twoCellAnchor>
    </mc:Choice>
    <mc:Fallback/>
  </mc:AlternateContent>
  <xdr:twoCellAnchor>
    <xdr:from>
      <xdr:col>3</xdr:col>
      <xdr:colOff>447675</xdr:colOff>
      <xdr:row>7</xdr:row>
      <xdr:rowOff>104774</xdr:rowOff>
    </xdr:from>
    <xdr:to>
      <xdr:col>12</xdr:col>
      <xdr:colOff>266700</xdr:colOff>
      <xdr:row>29</xdr:row>
      <xdr:rowOff>180975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5391150" y="1438274"/>
          <a:ext cx="5514975" cy="4238626"/>
        </a:xfrm>
        <a:prstGeom prst="roundRect">
          <a:avLst/>
        </a:prstGeom>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The</a:t>
          </a:r>
          <a:r>
            <a:rPr lang="en-US" sz="1100" baseline="0"/>
            <a:t> results you see here are for one potential run. If you run the simulation again with the same parameters, including the </a:t>
          </a:r>
          <a:r>
            <a:rPr lang="en-US" sz="1100" i="1" baseline="0"/>
            <a:t>same </a:t>
          </a:r>
          <a:r>
            <a:rPr lang="en-US" sz="1100" i="0" baseline="0"/>
            <a:t>random number seed, you will get identical results. However, if you run it again with the same parameters but with a </a:t>
          </a:r>
          <a:r>
            <a:rPr lang="en-US" sz="1100" i="1" baseline="0"/>
            <a:t>different </a:t>
          </a:r>
          <a:r>
            <a:rPr lang="en-US" sz="1100" i="0" baseline="0"/>
            <a:t>random number seed, you will get different results. This is the typical characteristic of simulation: different random numbers produce different results.</a:t>
          </a:r>
        </a:p>
        <a:p>
          <a:endParaRPr lang="en-US" sz="1100" i="0" baseline="0"/>
        </a:p>
        <a:p>
          <a:r>
            <a:rPr lang="en-US" sz="1100" i="0" baseline="0"/>
            <a:t>The effect of the warmup time is to allow the effect of the initial conditions (where the system starts empty and idle) to get washed out. If you </a:t>
          </a:r>
          <a:r>
            <a:rPr lang="en-US" sz="1100" i="1" baseline="0"/>
            <a:t>want </a:t>
          </a:r>
          <a:r>
            <a:rPr lang="en-US" sz="1100" i="0" baseline="0"/>
            <a:t>the initial conditions to have an effect, just set the warmup time to a small value, even 0.</a:t>
          </a:r>
        </a:p>
        <a:p>
          <a:endParaRPr lang="en-US" sz="1100" i="0" baseline="0"/>
        </a:p>
        <a:p>
          <a:r>
            <a:rPr lang="en-US" sz="1100" i="0" baseline="0"/>
            <a:t>If you run this for a </a:t>
          </a:r>
          <a:r>
            <a:rPr lang="en-US" sz="1100" i="1" baseline="0"/>
            <a:t>long</a:t>
          </a:r>
          <a:r>
            <a:rPr lang="en-US" sz="1100" i="0" baseline="0"/>
            <a:t> simulation run time, especially with a fairly long warmup time, the results should be fairly close to steady-state results from the analytical models in this chapter. But you might be surprised to see how long it takes to reach steady-state. For example, if you make the run time one day, then each run will simulate a single day. But by making several runs, you might find that the results for days vary quite a lot around the steady-state results.</a:t>
          </a:r>
        </a:p>
        <a:p>
          <a:endParaRPr lang="en-US" sz="1100" i="0" baseline="0"/>
        </a:p>
        <a:p>
          <a:r>
            <a:rPr lang="en-US" sz="1100" i="0" baseline="0"/>
            <a:t>The downside to simulation is that it requires a lot of programming. The programming itself isn't that difficult, but it requires close attention to detail, and it is easy to make mistakes. Take a look at the VBA code for this model. (Press Alt+F11 to get into the VB editor, and then look at the code in the Module.) You will probably be surprised at how much code there is.</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835025</xdr:colOff>
      <xdr:row>20</xdr:row>
      <xdr:rowOff>139700</xdr:rowOff>
    </xdr:from>
    <xdr:to>
      <xdr:col>9</xdr:col>
      <xdr:colOff>203200</xdr:colOff>
      <xdr:row>36</xdr:row>
      <xdr:rowOff>168275</xdr:rowOff>
    </xdr:to>
    <xdr:graphicFrame macro="">
      <xdr:nvGraphicFramePr>
        <xdr:cNvPr id="2" name="QChart">
          <a:extLst>
            <a:ext uri="{FF2B5EF4-FFF2-40B4-BE49-F238E27FC236}">
              <a16:creationId xmlns:a16="http://schemas.microsoft.com/office/drawing/2014/main" id="{11061718-690C-6C48-A027-26A4998F1F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63500</xdr:colOff>
          <xdr:row>3</xdr:row>
          <xdr:rowOff>127000</xdr:rowOff>
        </xdr:from>
        <xdr:to>
          <xdr:col>7</xdr:col>
          <xdr:colOff>63500</xdr:colOff>
          <xdr:row>5</xdr:row>
          <xdr:rowOff>165100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14619526-BC69-7B43-A277-49C970BD7BD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charset="0"/>
                  <a:cs typeface="Arial" charset="0"/>
                </a:rPr>
                <a:t>Run another simulation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txDef>
      <a:spPr>
        <a:solidFill>
          <a:schemeClr val="bg1">
            <a:shade val="80000"/>
          </a:schemeClr>
        </a:solidFill>
        <a:ln w="9525" cmpd="sng">
          <a:solidFill>
            <a:schemeClr val="lt1">
              <a:shade val="50000"/>
            </a:schemeClr>
          </a:solidFill>
        </a:ln>
        <a:effectLst>
          <a:outerShdw blurRad="50800" dist="38100" dir="8100000" algn="tr">
            <a:prstClr val="black">
              <a:alpha val="40000"/>
            </a:prstClr>
          </a:outerShdw>
        </a:effectLst>
      </a:spPr>
      <a:bodyPr wrap="square" rtlCol="0" anchor="t"/>
      <a:lstStyle>
        <a:defPPr rtl="0">
          <a:defRPr sz="1100" b="0" i="0">
            <a:solidFill>
              <a:schemeClr val="dk1"/>
            </a:solidFill>
            <a:latin typeface="+mn-lt"/>
            <a:ea typeface="+mn-ea"/>
            <a:cs typeface="+mn-cs"/>
          </a:defRPr>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Explanation"/>
  <dimension ref="B2:L15"/>
  <sheetViews>
    <sheetView showGridLines="0" showRowColHeaders="0" topLeftCell="A11" workbookViewId="0">
      <selection activeCell="I12" sqref="I12"/>
    </sheetView>
  </sheetViews>
  <sheetFormatPr baseColWidth="10" defaultColWidth="9.1640625" defaultRowHeight="15"/>
  <cols>
    <col min="1" max="16384" width="9.1640625" style="20"/>
  </cols>
  <sheetData>
    <row r="2" spans="2:12" ht="19">
      <c r="H2" s="21"/>
      <c r="I2" s="22" t="s">
        <v>0</v>
      </c>
      <c r="J2" s="21"/>
      <c r="K2" s="21"/>
      <c r="L2" s="21"/>
    </row>
    <row r="3" spans="2:12">
      <c r="C3" s="23"/>
      <c r="D3" s="24"/>
      <c r="E3" s="24"/>
      <c r="F3" s="24"/>
    </row>
    <row r="4" spans="2:12">
      <c r="C4" s="23"/>
      <c r="D4" s="24"/>
      <c r="E4" s="24"/>
      <c r="F4" s="24"/>
    </row>
    <row r="6" spans="2:12">
      <c r="B6" s="25"/>
    </row>
    <row r="7" spans="2:12">
      <c r="B7" s="25"/>
    </row>
    <row r="8" spans="2:12">
      <c r="B8" s="25"/>
    </row>
    <row r="9" spans="2:12">
      <c r="B9" s="25"/>
    </row>
    <row r="10" spans="2:12">
      <c r="B10" s="25"/>
    </row>
    <row r="11" spans="2:12">
      <c r="B11" s="25"/>
    </row>
    <row r="12" spans="2:12">
      <c r="B12" s="25"/>
    </row>
    <row r="13" spans="2:12">
      <c r="B13" s="25"/>
    </row>
    <row r="14" spans="2:12">
      <c r="B14" s="25"/>
    </row>
    <row r="15" spans="2:12">
      <c r="B15" s="25"/>
    </row>
  </sheetData>
  <phoneticPr fontId="0" type="noConversion"/>
  <pageMargins left="0.75" right="0.75" top="1" bottom="1" header="0.5" footer="0.5"/>
  <pageSetup orientation="portrait" horizontalDpi="1200" verticalDpi="12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Line="0" autoPict="0" macro="[0]!Main">
                <anchor moveWithCells="1" sizeWithCells="1">
                  <from>
                    <xdr:col>7</xdr:col>
                    <xdr:colOff>76200</xdr:colOff>
                    <xdr:row>21</xdr:row>
                    <xdr:rowOff>88900</xdr:rowOff>
                  </from>
                  <to>
                    <xdr:col>9</xdr:col>
                    <xdr:colOff>368300</xdr:colOff>
                    <xdr:row>23</xdr:row>
                    <xdr:rowOff>63500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sReportTemplate"/>
  <dimension ref="A1:D94"/>
  <sheetViews>
    <sheetView zoomScaleNormal="100" workbookViewId="0">
      <selection activeCell="A2" sqref="A2"/>
    </sheetView>
  </sheetViews>
  <sheetFormatPr baseColWidth="10" defaultColWidth="9.1640625" defaultRowHeight="15"/>
  <cols>
    <col min="1" max="1" width="41.33203125" style="2" customWidth="1"/>
    <col min="2" max="2" width="14.1640625" style="14" customWidth="1"/>
    <col min="3" max="3" width="18.6640625" style="2" customWidth="1"/>
    <col min="4" max="4" width="12.33203125" style="2" customWidth="1"/>
    <col min="5" max="16384" width="9.1640625" style="2"/>
  </cols>
  <sheetData>
    <row r="1" spans="1:3">
      <c r="A1" s="1" t="s">
        <v>1</v>
      </c>
      <c r="B1" s="2"/>
    </row>
    <row r="2" spans="1:3">
      <c r="B2" s="2"/>
    </row>
    <row r="3" spans="1:3">
      <c r="A3" s="1" t="s">
        <v>2</v>
      </c>
      <c r="B3" s="2"/>
    </row>
    <row r="4" spans="1:3">
      <c r="B4" s="2"/>
    </row>
    <row r="5" spans="1:3">
      <c r="A5" s="2" t="s">
        <v>3</v>
      </c>
      <c r="B5" s="3" t="s">
        <v>32</v>
      </c>
      <c r="C5" s="4"/>
    </row>
    <row r="6" spans="1:3">
      <c r="A6" s="2" t="s">
        <v>4</v>
      </c>
      <c r="B6" s="5">
        <v>0.875</v>
      </c>
      <c r="C6" s="6" t="str">
        <f>"customers/"&amp;TimeUnit</f>
        <v>customers/minute</v>
      </c>
    </row>
    <row r="7" spans="1:3">
      <c r="A7" s="2" t="s">
        <v>5</v>
      </c>
      <c r="B7" s="5">
        <v>1</v>
      </c>
      <c r="C7" s="4" t="str">
        <f>IF(B7&gt;1,TimeUnit&amp;"s",TimeUnit)</f>
        <v>minute</v>
      </c>
    </row>
    <row r="8" spans="1:3">
      <c r="A8" s="2" t="s">
        <v>6</v>
      </c>
      <c r="B8" s="7">
        <v>3</v>
      </c>
      <c r="C8" s="4"/>
    </row>
    <row r="9" spans="1:3">
      <c r="A9" s="2" t="s">
        <v>20</v>
      </c>
      <c r="B9" s="7" t="s">
        <v>33</v>
      </c>
      <c r="C9" s="4"/>
    </row>
    <row r="10" spans="1:3">
      <c r="A10" s="2" t="s">
        <v>23</v>
      </c>
      <c r="B10" s="5">
        <v>0.10000000149011612</v>
      </c>
      <c r="C10" s="4" t="str">
        <f>IF(B10&gt;1,TimeUnit&amp;"s",TimeUnit)</f>
        <v>minute</v>
      </c>
    </row>
    <row r="11" spans="1:3">
      <c r="A11" s="2" t="s">
        <v>21</v>
      </c>
      <c r="B11" s="5">
        <v>0.10000000149011612</v>
      </c>
      <c r="C11" s="4" t="str">
        <f>IF(B11&gt;1,TimeUnit&amp;"s",TimeUnit)</f>
        <v>minute</v>
      </c>
    </row>
    <row r="12" spans="1:3">
      <c r="A12" s="2" t="s">
        <v>25</v>
      </c>
      <c r="B12" s="5">
        <v>30</v>
      </c>
      <c r="C12" s="4" t="str">
        <f>"customers/"&amp;TimeUnit</f>
        <v>customers/minute</v>
      </c>
    </row>
    <row r="13" spans="1:3">
      <c r="A13" s="2" t="s">
        <v>22</v>
      </c>
      <c r="B13" s="7">
        <v>15</v>
      </c>
      <c r="C13" s="4" t="s">
        <v>24</v>
      </c>
    </row>
    <row r="14" spans="1:3">
      <c r="A14" s="2" t="s">
        <v>30</v>
      </c>
      <c r="B14" s="7">
        <v>100</v>
      </c>
      <c r="C14" s="4" t="str">
        <f>TimeUnit&amp;"s"</f>
        <v>minutes</v>
      </c>
    </row>
    <row r="15" spans="1:3">
      <c r="A15" s="2" t="s">
        <v>7</v>
      </c>
      <c r="B15" s="3">
        <v>1000</v>
      </c>
      <c r="C15" s="4" t="str">
        <f>TimeUnit&amp;"s"</f>
        <v>minutes</v>
      </c>
    </row>
    <row r="16" spans="1:3">
      <c r="A16" s="2" t="s">
        <v>31</v>
      </c>
      <c r="B16" s="2">
        <v>234</v>
      </c>
    </row>
    <row r="18" spans="1:4" ht="12.75" customHeight="1">
      <c r="A18" s="1" t="s">
        <v>8</v>
      </c>
      <c r="B18" s="8"/>
      <c r="D18" s="9"/>
    </row>
    <row r="19" spans="1:4">
      <c r="B19" s="9"/>
      <c r="D19" s="10"/>
    </row>
    <row r="20" spans="1:4">
      <c r="A20" s="2" t="s">
        <v>9</v>
      </c>
      <c r="B20" s="11"/>
      <c r="C20" s="4" t="str">
        <f>TimeUnit&amp;"s"</f>
        <v>minutes</v>
      </c>
      <c r="D20" s="10"/>
    </row>
    <row r="21" spans="1:4">
      <c r="A21" s="2" t="s">
        <v>10</v>
      </c>
      <c r="B21" s="12"/>
      <c r="C21" s="4" t="str">
        <f>TimeUnit&amp;"s"</f>
        <v>minutes</v>
      </c>
      <c r="D21" s="12"/>
    </row>
    <row r="22" spans="1:4">
      <c r="A22" s="2" t="s">
        <v>11</v>
      </c>
      <c r="B22" s="12"/>
      <c r="D22" s="12"/>
    </row>
    <row r="23" spans="1:4">
      <c r="A23" s="2" t="s">
        <v>12</v>
      </c>
      <c r="B23" s="13"/>
      <c r="D23" s="12"/>
    </row>
    <row r="24" spans="1:4">
      <c r="B24" s="13"/>
      <c r="D24" s="12"/>
    </row>
    <row r="25" spans="1:4">
      <c r="A25" s="2" t="s">
        <v>26</v>
      </c>
      <c r="B25" s="12"/>
      <c r="C25" s="4" t="str">
        <f>TimeUnit&amp;"s"</f>
        <v>minutes</v>
      </c>
      <c r="D25" s="12"/>
    </row>
    <row r="26" spans="1:4">
      <c r="A26" s="2" t="s">
        <v>27</v>
      </c>
      <c r="B26" s="12"/>
      <c r="C26" s="4" t="str">
        <f>TimeUnit&amp;"s"</f>
        <v>minutes</v>
      </c>
      <c r="D26" s="12"/>
    </row>
    <row r="27" spans="1:4">
      <c r="A27" s="2" t="s">
        <v>28</v>
      </c>
      <c r="B27" s="12"/>
      <c r="D27" s="12"/>
    </row>
    <row r="28" spans="1:4">
      <c r="A28" s="2" t="s">
        <v>29</v>
      </c>
      <c r="B28" s="13"/>
      <c r="D28" s="12"/>
    </row>
    <row r="29" spans="1:4">
      <c r="B29" s="13"/>
      <c r="D29" s="14"/>
    </row>
    <row r="30" spans="1:4">
      <c r="A30" s="2" t="s">
        <v>13</v>
      </c>
      <c r="B30" s="15"/>
      <c r="D30" s="14"/>
    </row>
    <row r="31" spans="1:4">
      <c r="B31" s="15"/>
    </row>
    <row r="32" spans="1:4">
      <c r="A32" s="2" t="s">
        <v>14</v>
      </c>
      <c r="B32" s="16"/>
    </row>
    <row r="33" spans="1:3">
      <c r="A33" s="2" t="s">
        <v>15</v>
      </c>
      <c r="B33" s="16"/>
    </row>
    <row r="34" spans="1:3">
      <c r="A34" s="2" t="s">
        <v>16</v>
      </c>
      <c r="B34" s="17"/>
    </row>
    <row r="35" spans="1:3">
      <c r="B35" s="2"/>
    </row>
    <row r="36" spans="1:3">
      <c r="A36" s="2" t="s">
        <v>17</v>
      </c>
      <c r="B36" s="2"/>
    </row>
    <row r="37" spans="1:3">
      <c r="A37" s="18" t="s">
        <v>18</v>
      </c>
      <c r="B37" s="18" t="s">
        <v>19</v>
      </c>
    </row>
    <row r="38" spans="1:3">
      <c r="B38" s="19"/>
    </row>
    <row r="39" spans="1:3">
      <c r="B39" s="19"/>
    </row>
    <row r="40" spans="1:3">
      <c r="B40" s="19"/>
    </row>
    <row r="41" spans="1:3">
      <c r="B41" s="19"/>
    </row>
    <row r="42" spans="1:3">
      <c r="B42" s="19"/>
    </row>
    <row r="43" spans="1:3">
      <c r="B43" s="19"/>
      <c r="C43" s="14"/>
    </row>
    <row r="44" spans="1:3">
      <c r="B44" s="19"/>
    </row>
    <row r="45" spans="1:3">
      <c r="B45" s="19"/>
    </row>
    <row r="46" spans="1:3">
      <c r="B46" s="19"/>
    </row>
    <row r="47" spans="1:3">
      <c r="B47" s="19"/>
    </row>
    <row r="48" spans="1:3">
      <c r="B48" s="19"/>
    </row>
    <row r="49" spans="2:2">
      <c r="B49" s="19"/>
    </row>
    <row r="50" spans="2:2">
      <c r="B50" s="19"/>
    </row>
    <row r="51" spans="2:2">
      <c r="B51" s="19"/>
    </row>
    <row r="52" spans="2:2">
      <c r="B52" s="19"/>
    </row>
    <row r="53" spans="2:2">
      <c r="B53" s="19"/>
    </row>
    <row r="54" spans="2:2">
      <c r="B54" s="19"/>
    </row>
    <row r="55" spans="2:2">
      <c r="B55" s="19"/>
    </row>
    <row r="56" spans="2:2">
      <c r="B56" s="19"/>
    </row>
    <row r="57" spans="2:2">
      <c r="B57" s="19"/>
    </row>
    <row r="58" spans="2:2">
      <c r="B58" s="19"/>
    </row>
    <row r="59" spans="2:2">
      <c r="B59" s="19"/>
    </row>
    <row r="60" spans="2:2">
      <c r="B60" s="19"/>
    </row>
    <row r="61" spans="2:2">
      <c r="B61" s="19"/>
    </row>
    <row r="62" spans="2:2">
      <c r="B62" s="19"/>
    </row>
    <row r="63" spans="2:2">
      <c r="B63" s="19"/>
    </row>
    <row r="64" spans="2:2">
      <c r="B64" s="19"/>
    </row>
    <row r="65" spans="2:2">
      <c r="B65" s="19"/>
    </row>
    <row r="66" spans="2:2">
      <c r="B66" s="19"/>
    </row>
    <row r="67" spans="2:2">
      <c r="B67" s="19"/>
    </row>
    <row r="68" spans="2:2">
      <c r="B68" s="19"/>
    </row>
    <row r="69" spans="2:2">
      <c r="B69" s="19"/>
    </row>
    <row r="70" spans="2:2">
      <c r="B70" s="19"/>
    </row>
    <row r="71" spans="2:2">
      <c r="B71" s="19"/>
    </row>
    <row r="72" spans="2:2">
      <c r="B72" s="19"/>
    </row>
    <row r="73" spans="2:2">
      <c r="B73" s="19"/>
    </row>
    <row r="74" spans="2:2">
      <c r="B74" s="19"/>
    </row>
    <row r="75" spans="2:2">
      <c r="B75" s="19"/>
    </row>
    <row r="76" spans="2:2">
      <c r="B76" s="19"/>
    </row>
    <row r="77" spans="2:2">
      <c r="B77" s="19"/>
    </row>
    <row r="78" spans="2:2">
      <c r="B78" s="19"/>
    </row>
    <row r="79" spans="2:2">
      <c r="B79" s="19"/>
    </row>
    <row r="80" spans="2:2">
      <c r="B80" s="19"/>
    </row>
    <row r="81" spans="2:2">
      <c r="B81" s="19"/>
    </row>
    <row r="82" spans="2:2">
      <c r="B82" s="19"/>
    </row>
    <row r="83" spans="2:2">
      <c r="B83" s="19"/>
    </row>
    <row r="84" spans="2:2">
      <c r="B84" s="19"/>
    </row>
    <row r="85" spans="2:2">
      <c r="B85" s="19"/>
    </row>
    <row r="86" spans="2:2">
      <c r="B86" s="19"/>
    </row>
    <row r="87" spans="2:2">
      <c r="B87" s="19"/>
    </row>
    <row r="88" spans="2:2">
      <c r="B88" s="19"/>
    </row>
    <row r="89" spans="2:2">
      <c r="B89" s="19"/>
    </row>
    <row r="90" spans="2:2">
      <c r="B90" s="19"/>
    </row>
    <row r="91" spans="2:2">
      <c r="B91" s="19"/>
    </row>
    <row r="92" spans="2:2">
      <c r="B92" s="19"/>
    </row>
    <row r="93" spans="2:2">
      <c r="B93" s="19"/>
    </row>
    <row r="94" spans="2:2">
      <c r="B94" s="19"/>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94"/>
  <sheetViews>
    <sheetView zoomScaleNormal="100" workbookViewId="0">
      <selection activeCell="B7" sqref="B7"/>
    </sheetView>
  </sheetViews>
  <sheetFormatPr baseColWidth="10" defaultColWidth="9.1640625" defaultRowHeight="15"/>
  <cols>
    <col min="1" max="1" width="41.33203125" style="2" customWidth="1"/>
    <col min="2" max="2" width="14.1640625" style="14" customWidth="1"/>
    <col min="3" max="3" width="18.6640625" style="2" customWidth="1"/>
    <col min="4" max="4" width="12.33203125" style="2" customWidth="1"/>
    <col min="5" max="16384" width="9.1640625" style="2"/>
  </cols>
  <sheetData>
    <row r="1" spans="1:3">
      <c r="A1" s="1" t="s">
        <v>1</v>
      </c>
      <c r="B1" s="2"/>
    </row>
    <row r="2" spans="1:3">
      <c r="B2" s="2"/>
    </row>
    <row r="3" spans="1:3">
      <c r="A3" s="1" t="s">
        <v>2</v>
      </c>
      <c r="B3" s="2"/>
    </row>
    <row r="4" spans="1:3">
      <c r="B4" s="2"/>
    </row>
    <row r="5" spans="1:3">
      <c r="A5" s="2" t="s">
        <v>3</v>
      </c>
      <c r="B5" s="3" t="s">
        <v>32</v>
      </c>
      <c r="C5" s="4"/>
    </row>
    <row r="6" spans="1:3">
      <c r="A6" s="2" t="s">
        <v>4</v>
      </c>
      <c r="B6" s="5">
        <v>0.875</v>
      </c>
      <c r="C6" s="6" t="str">
        <f>"customers/"&amp;TimeUnit</f>
        <v>customers/minute</v>
      </c>
    </row>
    <row r="7" spans="1:3">
      <c r="A7" s="2" t="s">
        <v>5</v>
      </c>
      <c r="B7" s="5">
        <v>1</v>
      </c>
      <c r="C7" s="4" t="str">
        <f>IF(B7&gt;1,TimeUnit&amp;"s",TimeUnit)</f>
        <v>minute</v>
      </c>
    </row>
    <row r="8" spans="1:3">
      <c r="A8" s="2" t="s">
        <v>6</v>
      </c>
      <c r="B8" s="7">
        <v>3</v>
      </c>
      <c r="C8" s="4"/>
    </row>
    <row r="9" spans="1:3">
      <c r="A9" s="2" t="s">
        <v>20</v>
      </c>
      <c r="B9" s="7" t="s">
        <v>33</v>
      </c>
      <c r="C9" s="4"/>
    </row>
    <row r="10" spans="1:3">
      <c r="A10" s="2" t="s">
        <v>23</v>
      </c>
      <c r="B10" s="5">
        <v>0.10000000149011612</v>
      </c>
      <c r="C10" s="4" t="str">
        <f>IF(B10&gt;1,TimeUnit&amp;"s",TimeUnit)</f>
        <v>minute</v>
      </c>
    </row>
    <row r="11" spans="1:3">
      <c r="A11" s="2" t="s">
        <v>21</v>
      </c>
      <c r="B11" s="5">
        <v>0.10000000149011612</v>
      </c>
      <c r="C11" s="4" t="str">
        <f>IF(B11&gt;1,TimeUnit&amp;"s",TimeUnit)</f>
        <v>minute</v>
      </c>
    </row>
    <row r="12" spans="1:3">
      <c r="A12" s="2" t="s">
        <v>25</v>
      </c>
      <c r="B12" s="5">
        <v>30</v>
      </c>
      <c r="C12" s="4" t="str">
        <f>"customers/"&amp;TimeUnit</f>
        <v>customers/minute</v>
      </c>
    </row>
    <row r="13" spans="1:3">
      <c r="A13" s="2" t="s">
        <v>22</v>
      </c>
      <c r="B13" s="7">
        <v>15</v>
      </c>
      <c r="C13" s="4" t="s">
        <v>24</v>
      </c>
    </row>
    <row r="14" spans="1:3">
      <c r="A14" s="2" t="s">
        <v>30</v>
      </c>
      <c r="B14" s="7">
        <v>100</v>
      </c>
      <c r="C14" s="4" t="str">
        <f>TimeUnit&amp;"s"</f>
        <v>minutes</v>
      </c>
    </row>
    <row r="15" spans="1:3">
      <c r="A15" s="2" t="s">
        <v>7</v>
      </c>
      <c r="B15" s="3">
        <v>1000</v>
      </c>
      <c r="C15" s="4" t="str">
        <f>TimeUnit&amp;"s"</f>
        <v>minutes</v>
      </c>
    </row>
    <row r="16" spans="1:3">
      <c r="A16" s="2" t="s">
        <v>31</v>
      </c>
      <c r="B16" s="2">
        <v>234</v>
      </c>
    </row>
    <row r="18" spans="1:4" ht="12.75" customHeight="1">
      <c r="A18" s="1" t="s">
        <v>8</v>
      </c>
      <c r="B18" s="8"/>
      <c r="D18" s="9"/>
    </row>
    <row r="19" spans="1:4">
      <c r="B19" s="9"/>
      <c r="D19" s="10"/>
    </row>
    <row r="20" spans="1:4">
      <c r="A20" s="2" t="s">
        <v>9</v>
      </c>
      <c r="B20" s="11">
        <v>4.3405633186921477E-4</v>
      </c>
      <c r="C20" s="4" t="str">
        <f>TimeUnit&amp;"s"</f>
        <v>minutes</v>
      </c>
      <c r="D20" s="10"/>
    </row>
    <row r="21" spans="1:4">
      <c r="A21" s="2" t="s">
        <v>10</v>
      </c>
      <c r="B21" s="12">
        <v>0.154327392578125</v>
      </c>
      <c r="C21" s="4" t="str">
        <f>TimeUnit&amp;"s"</f>
        <v>minutes</v>
      </c>
      <c r="D21" s="12"/>
    </row>
    <row r="22" spans="1:4">
      <c r="A22" s="2" t="s">
        <v>11</v>
      </c>
      <c r="B22" s="12">
        <v>2.1025696769356728E-3</v>
      </c>
      <c r="D22" s="12"/>
    </row>
    <row r="23" spans="1:4">
      <c r="A23" s="2" t="s">
        <v>12</v>
      </c>
      <c r="B23" s="13">
        <v>2</v>
      </c>
      <c r="D23" s="12"/>
    </row>
    <row r="24" spans="1:4">
      <c r="B24" s="13"/>
      <c r="D24" s="12"/>
    </row>
    <row r="25" spans="1:4">
      <c r="A25" s="2" t="s">
        <v>26</v>
      </c>
      <c r="B25" s="12">
        <v>9.9347211420536041E-2</v>
      </c>
      <c r="C25" s="4" t="str">
        <f>TimeUnit&amp;"s"</f>
        <v>minutes</v>
      </c>
      <c r="D25" s="12"/>
    </row>
    <row r="26" spans="1:4">
      <c r="A26" s="2" t="s">
        <v>27</v>
      </c>
      <c r="B26" s="12">
        <v>1.1553955078125</v>
      </c>
      <c r="C26" s="4" t="str">
        <f>TimeUnit&amp;"s"</f>
        <v>minutes</v>
      </c>
      <c r="D26" s="12"/>
    </row>
    <row r="27" spans="1:4">
      <c r="A27" s="2" t="s">
        <v>28</v>
      </c>
      <c r="B27" s="12">
        <v>0.4809550940990448</v>
      </c>
      <c r="D27" s="12"/>
    </row>
    <row r="28" spans="1:4">
      <c r="A28" s="2" t="s">
        <v>29</v>
      </c>
      <c r="B28" s="13">
        <v>5</v>
      </c>
      <c r="D28" s="12"/>
    </row>
    <row r="29" spans="1:4">
      <c r="B29" s="13"/>
      <c r="D29" s="14"/>
    </row>
    <row r="30" spans="1:4">
      <c r="A30" s="2" t="s">
        <v>13</v>
      </c>
      <c r="B30" s="15">
        <v>0.15961751341819763</v>
      </c>
      <c r="D30" s="14"/>
    </row>
    <row r="31" spans="1:4">
      <c r="B31" s="15"/>
    </row>
    <row r="32" spans="1:4">
      <c r="A32" s="2" t="s">
        <v>14</v>
      </c>
      <c r="B32" s="16">
        <v>4845</v>
      </c>
    </row>
    <row r="33" spans="1:3">
      <c r="A33" s="2" t="s">
        <v>15</v>
      </c>
      <c r="B33" s="16">
        <v>0</v>
      </c>
    </row>
    <row r="34" spans="1:3">
      <c r="A34" s="2" t="s">
        <v>16</v>
      </c>
      <c r="B34" s="17">
        <v>0</v>
      </c>
    </row>
    <row r="35" spans="1:3">
      <c r="B35" s="2"/>
    </row>
    <row r="36" spans="1:3">
      <c r="A36" s="2" t="s">
        <v>17</v>
      </c>
      <c r="B36" s="2"/>
    </row>
    <row r="37" spans="1:3">
      <c r="A37" s="18" t="s">
        <v>18</v>
      </c>
      <c r="B37" s="18" t="s">
        <v>19</v>
      </c>
    </row>
    <row r="38" spans="1:3">
      <c r="A38" s="2">
        <v>0</v>
      </c>
      <c r="B38" s="19">
        <v>0.96559524536132812</v>
      </c>
    </row>
    <row r="39" spans="1:3">
      <c r="A39" s="2">
        <v>1</v>
      </c>
      <c r="B39" s="19">
        <v>1.6628664452582598E-3</v>
      </c>
    </row>
    <row r="40" spans="1:3">
      <c r="A40" s="2">
        <v>2</v>
      </c>
      <c r="B40" s="19">
        <v>1.3616388605441898E-4</v>
      </c>
    </row>
    <row r="41" spans="1:3">
      <c r="B41" s="19"/>
    </row>
    <row r="42" spans="1:3">
      <c r="B42" s="19"/>
    </row>
    <row r="43" spans="1:3">
      <c r="B43" s="19"/>
      <c r="C43" s="14"/>
    </row>
    <row r="44" spans="1:3">
      <c r="B44" s="19"/>
    </row>
    <row r="45" spans="1:3">
      <c r="B45" s="19"/>
    </row>
    <row r="46" spans="1:3">
      <c r="B46" s="19"/>
    </row>
    <row r="47" spans="1:3">
      <c r="B47" s="19"/>
    </row>
    <row r="48" spans="1:3">
      <c r="B48" s="19"/>
    </row>
    <row r="49" spans="2:2">
      <c r="B49" s="19"/>
    </row>
    <row r="50" spans="2:2">
      <c r="B50" s="19"/>
    </row>
    <row r="51" spans="2:2">
      <c r="B51" s="19"/>
    </row>
    <row r="52" spans="2:2">
      <c r="B52" s="19"/>
    </row>
    <row r="53" spans="2:2">
      <c r="B53" s="19"/>
    </row>
    <row r="54" spans="2:2">
      <c r="B54" s="19"/>
    </row>
    <row r="55" spans="2:2">
      <c r="B55" s="19"/>
    </row>
    <row r="56" spans="2:2">
      <c r="B56" s="19"/>
    </row>
    <row r="57" spans="2:2">
      <c r="B57" s="19"/>
    </row>
    <row r="58" spans="2:2">
      <c r="B58" s="19"/>
    </row>
    <row r="59" spans="2:2">
      <c r="B59" s="19"/>
    </row>
    <row r="60" spans="2:2">
      <c r="B60" s="19"/>
    </row>
    <row r="61" spans="2:2">
      <c r="B61" s="19"/>
    </row>
    <row r="62" spans="2:2">
      <c r="B62" s="19"/>
    </row>
    <row r="63" spans="2:2">
      <c r="B63" s="19"/>
    </row>
    <row r="64" spans="2:2">
      <c r="B64" s="19"/>
    </row>
    <row r="65" spans="2:2">
      <c r="B65" s="19"/>
    </row>
    <row r="66" spans="2:2">
      <c r="B66" s="19"/>
    </row>
    <row r="67" spans="2:2">
      <c r="B67" s="19"/>
    </row>
    <row r="68" spans="2:2">
      <c r="B68" s="19"/>
    </row>
    <row r="69" spans="2:2">
      <c r="B69" s="19"/>
    </row>
    <row r="70" spans="2:2">
      <c r="B70" s="19"/>
    </row>
    <row r="71" spans="2:2">
      <c r="B71" s="19"/>
    </row>
    <row r="72" spans="2:2">
      <c r="B72" s="19"/>
    </row>
    <row r="73" spans="2:2">
      <c r="B73" s="19"/>
    </row>
    <row r="74" spans="2:2">
      <c r="B74" s="19"/>
    </row>
    <row r="75" spans="2:2">
      <c r="B75" s="19"/>
    </row>
    <row r="76" spans="2:2">
      <c r="B76" s="19"/>
    </row>
    <row r="77" spans="2:2">
      <c r="B77" s="19"/>
    </row>
    <row r="78" spans="2:2">
      <c r="B78" s="19"/>
    </row>
    <row r="79" spans="2:2">
      <c r="B79" s="19"/>
    </row>
    <row r="80" spans="2:2">
      <c r="B80" s="19"/>
    </row>
    <row r="81" spans="2:2">
      <c r="B81" s="19"/>
    </row>
    <row r="82" spans="2:2">
      <c r="B82" s="19"/>
    </row>
    <row r="83" spans="2:2">
      <c r="B83" s="19"/>
    </row>
    <row r="84" spans="2:2">
      <c r="B84" s="19"/>
    </row>
    <row r="85" spans="2:2">
      <c r="B85" s="19"/>
    </row>
    <row r="86" spans="2:2">
      <c r="B86" s="19"/>
    </row>
    <row r="87" spans="2:2">
      <c r="B87" s="19"/>
    </row>
    <row r="88" spans="2:2">
      <c r="B88" s="19"/>
    </row>
    <row r="89" spans="2:2">
      <c r="B89" s="19"/>
    </row>
    <row r="90" spans="2:2">
      <c r="B90" s="19"/>
    </row>
    <row r="91" spans="2:2">
      <c r="B91" s="19"/>
    </row>
    <row r="92" spans="2:2">
      <c r="B92" s="19"/>
    </row>
    <row r="93" spans="2:2">
      <c r="B93" s="19"/>
    </row>
    <row r="94" spans="2:2">
      <c r="B94" s="19"/>
    </row>
  </sheetData>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Main">
                <anchor moveWithCells="1" sizeWithCells="1">
                  <from>
                    <xdr:col>5</xdr:col>
                    <xdr:colOff>292100</xdr:colOff>
                    <xdr:row>3</xdr:row>
                    <xdr:rowOff>139700</xdr:rowOff>
                  </from>
                  <to>
                    <xdr:col>8</xdr:col>
                    <xdr:colOff>558800</xdr:colOff>
                    <xdr:row>5</xdr:row>
                    <xdr:rowOff>177800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DAC11-7B77-6048-9AA7-65952FE78D17}">
  <sheetPr codeName="wsReportTemplate1"/>
  <dimension ref="A1:D94"/>
  <sheetViews>
    <sheetView tabSelected="1" zoomScaleNormal="100" workbookViewId="0">
      <selection activeCell="I18" sqref="I18"/>
    </sheetView>
  </sheetViews>
  <sheetFormatPr baseColWidth="10" defaultColWidth="9.1640625" defaultRowHeight="15"/>
  <cols>
    <col min="1" max="1" width="41.33203125" style="2" customWidth="1"/>
    <col min="2" max="2" width="14.1640625" style="14" customWidth="1"/>
    <col min="3" max="3" width="18.6640625" style="2" customWidth="1"/>
    <col min="4" max="4" width="12.33203125" style="2" customWidth="1"/>
    <col min="5" max="16384" width="9.1640625" style="2"/>
  </cols>
  <sheetData>
    <row r="1" spans="1:3">
      <c r="A1" s="1" t="s">
        <v>1</v>
      </c>
      <c r="B1" s="2"/>
    </row>
    <row r="2" spans="1:3">
      <c r="B2" s="2"/>
    </row>
    <row r="3" spans="1:3">
      <c r="A3" s="1" t="s">
        <v>2</v>
      </c>
      <c r="B3" s="2"/>
    </row>
    <row r="4" spans="1:3">
      <c r="B4" s="2"/>
    </row>
    <row r="5" spans="1:3">
      <c r="A5" s="2" t="s">
        <v>3</v>
      </c>
      <c r="B5" s="3" t="s">
        <v>34</v>
      </c>
      <c r="C5" s="4"/>
    </row>
    <row r="6" spans="1:3">
      <c r="A6" s="2" t="s">
        <v>4</v>
      </c>
      <c r="B6" s="5">
        <v>0.875</v>
      </c>
      <c r="C6" s="6" t="str">
        <f>"customers/"&amp;TimeUnit</f>
        <v>customers/hour</v>
      </c>
    </row>
    <row r="7" spans="1:3">
      <c r="A7" s="2" t="s">
        <v>5</v>
      </c>
      <c r="B7" s="5">
        <v>1.1428571939468384</v>
      </c>
      <c r="C7" s="4" t="str">
        <f>IF(B7&gt;1,TimeUnit&amp;"s",TimeUnit)</f>
        <v>hours</v>
      </c>
    </row>
    <row r="8" spans="1:3">
      <c r="A8" s="2" t="s">
        <v>6</v>
      </c>
      <c r="B8" s="7">
        <v>1</v>
      </c>
      <c r="C8" s="4"/>
    </row>
    <row r="9" spans="1:3">
      <c r="A9" s="2" t="s">
        <v>20</v>
      </c>
      <c r="B9" s="7" t="s">
        <v>33</v>
      </c>
      <c r="C9" s="4"/>
    </row>
    <row r="10" spans="1:3">
      <c r="A10" s="2" t="s">
        <v>23</v>
      </c>
      <c r="B10" s="5">
        <v>0.10000000149011612</v>
      </c>
      <c r="C10" s="4" t="str">
        <f>IF(B10&gt;1,TimeUnit&amp;"s",TimeUnit)</f>
        <v>hour</v>
      </c>
    </row>
    <row r="11" spans="1:3">
      <c r="A11" s="2" t="s">
        <v>21</v>
      </c>
      <c r="B11" s="5">
        <v>0.10000000149011612</v>
      </c>
      <c r="C11" s="4" t="str">
        <f>IF(B11&gt;1,TimeUnit&amp;"s",TimeUnit)</f>
        <v>hour</v>
      </c>
    </row>
    <row r="12" spans="1:3">
      <c r="A12" s="2" t="s">
        <v>25</v>
      </c>
      <c r="B12" s="5">
        <v>10</v>
      </c>
      <c r="C12" s="4" t="str">
        <f>"customers/"&amp;TimeUnit</f>
        <v>customers/hour</v>
      </c>
    </row>
    <row r="13" spans="1:3">
      <c r="A13" s="2" t="s">
        <v>22</v>
      </c>
      <c r="B13" s="7">
        <v>9</v>
      </c>
      <c r="C13" s="4" t="s">
        <v>24</v>
      </c>
    </row>
    <row r="14" spans="1:3">
      <c r="A14" s="2" t="s">
        <v>30</v>
      </c>
      <c r="B14" s="7">
        <v>24</v>
      </c>
      <c r="C14" s="4" t="str">
        <f>TimeUnit&amp;"s"</f>
        <v>hours</v>
      </c>
    </row>
    <row r="15" spans="1:3">
      <c r="A15" s="2" t="s">
        <v>7</v>
      </c>
      <c r="B15" s="3">
        <v>24</v>
      </c>
      <c r="C15" s="4" t="str">
        <f>TimeUnit&amp;"s"</f>
        <v>hours</v>
      </c>
    </row>
    <row r="16" spans="1:3">
      <c r="A16" s="2" t="s">
        <v>31</v>
      </c>
      <c r="B16" s="2">
        <v>111</v>
      </c>
    </row>
    <row r="18" spans="1:4" ht="12.75" customHeight="1">
      <c r="A18" s="1" t="s">
        <v>8</v>
      </c>
      <c r="B18" s="8"/>
      <c r="D18" s="9"/>
    </row>
    <row r="19" spans="1:4">
      <c r="B19" s="9"/>
      <c r="D19" s="10"/>
    </row>
    <row r="20" spans="1:4">
      <c r="A20" s="2" t="s">
        <v>9</v>
      </c>
      <c r="B20" s="11">
        <v>0</v>
      </c>
      <c r="C20" s="4" t="str">
        <f>TimeUnit&amp;"s"</f>
        <v>hours</v>
      </c>
      <c r="D20" s="10"/>
    </row>
    <row r="21" spans="1:4">
      <c r="A21" s="2" t="s">
        <v>10</v>
      </c>
      <c r="B21" s="12">
        <v>0</v>
      </c>
      <c r="C21" s="4" t="str">
        <f>TimeUnit&amp;"s"</f>
        <v>hours</v>
      </c>
      <c r="D21" s="12"/>
    </row>
    <row r="22" spans="1:4">
      <c r="A22" s="2" t="s">
        <v>11</v>
      </c>
      <c r="B22" s="12">
        <v>0</v>
      </c>
      <c r="D22" s="12"/>
    </row>
    <row r="23" spans="1:4">
      <c r="A23" s="2" t="s">
        <v>12</v>
      </c>
      <c r="B23" s="13">
        <v>0</v>
      </c>
      <c r="D23" s="12"/>
    </row>
    <row r="24" spans="1:4">
      <c r="B24" s="13"/>
      <c r="D24" s="12"/>
    </row>
    <row r="25" spans="1:4">
      <c r="A25" s="2" t="s">
        <v>26</v>
      </c>
      <c r="B25" s="12">
        <v>8.9437812566757202E-2</v>
      </c>
      <c r="C25" s="4" t="str">
        <f>TimeUnit&amp;"s"</f>
        <v>hours</v>
      </c>
      <c r="D25" s="12"/>
    </row>
    <row r="26" spans="1:4">
      <c r="A26" s="2" t="s">
        <v>27</v>
      </c>
      <c r="B26" s="12">
        <v>0.311798095703125</v>
      </c>
      <c r="C26" s="4" t="str">
        <f>TimeUnit&amp;"s"</f>
        <v>hours</v>
      </c>
      <c r="D26" s="12"/>
    </row>
    <row r="27" spans="1:4">
      <c r="A27" s="2" t="s">
        <v>28</v>
      </c>
      <c r="B27" s="12">
        <v>4.728587344288826E-2</v>
      </c>
      <c r="D27" s="12"/>
    </row>
    <row r="28" spans="1:4">
      <c r="A28" s="2" t="s">
        <v>29</v>
      </c>
      <c r="B28" s="13">
        <v>1</v>
      </c>
      <c r="D28" s="12"/>
    </row>
    <row r="29" spans="1:4">
      <c r="B29" s="13"/>
      <c r="D29" s="14"/>
    </row>
    <row r="30" spans="1:4">
      <c r="A30" s="2" t="s">
        <v>13</v>
      </c>
      <c r="B30" s="15">
        <v>4.728587344288826E-2</v>
      </c>
      <c r="D30" s="14"/>
    </row>
    <row r="31" spans="1:4">
      <c r="B31" s="15"/>
    </row>
    <row r="32" spans="1:4">
      <c r="A32" s="2" t="s">
        <v>14</v>
      </c>
      <c r="B32" s="16">
        <v>12</v>
      </c>
    </row>
    <row r="33" spans="1:3">
      <c r="A33" s="2" t="s">
        <v>15</v>
      </c>
      <c r="B33" s="16">
        <v>0</v>
      </c>
    </row>
    <row r="34" spans="1:3">
      <c r="A34" s="2" t="s">
        <v>16</v>
      </c>
      <c r="B34" s="17">
        <v>0</v>
      </c>
    </row>
    <row r="35" spans="1:3">
      <c r="B35" s="2"/>
    </row>
    <row r="36" spans="1:3">
      <c r="A36" s="2" t="s">
        <v>17</v>
      </c>
      <c r="B36" s="2"/>
    </row>
    <row r="37" spans="1:3">
      <c r="A37" s="18" t="s">
        <v>18</v>
      </c>
      <c r="B37" s="18" t="s">
        <v>19</v>
      </c>
    </row>
    <row r="38" spans="1:3">
      <c r="A38" s="2">
        <v>0</v>
      </c>
      <c r="B38" s="19">
        <v>0.38756707310676575</v>
      </c>
    </row>
    <row r="39" spans="1:3">
      <c r="B39" s="19"/>
    </row>
    <row r="40" spans="1:3">
      <c r="B40" s="19"/>
    </row>
    <row r="41" spans="1:3">
      <c r="B41" s="19"/>
    </row>
    <row r="42" spans="1:3">
      <c r="B42" s="19"/>
    </row>
    <row r="43" spans="1:3">
      <c r="B43" s="19"/>
      <c r="C43" s="14"/>
    </row>
    <row r="44" spans="1:3">
      <c r="B44" s="19"/>
    </row>
    <row r="45" spans="1:3">
      <c r="B45" s="19"/>
    </row>
    <row r="46" spans="1:3">
      <c r="B46" s="19"/>
    </row>
    <row r="47" spans="1:3">
      <c r="B47" s="19"/>
    </row>
    <row r="48" spans="1:3">
      <c r="B48" s="19"/>
    </row>
    <row r="49" spans="2:2">
      <c r="B49" s="19"/>
    </row>
    <row r="50" spans="2:2">
      <c r="B50" s="19"/>
    </row>
    <row r="51" spans="2:2">
      <c r="B51" s="19"/>
    </row>
    <row r="52" spans="2:2">
      <c r="B52" s="19"/>
    </row>
    <row r="53" spans="2:2">
      <c r="B53" s="19"/>
    </row>
    <row r="54" spans="2:2">
      <c r="B54" s="19"/>
    </row>
    <row r="55" spans="2:2">
      <c r="B55" s="19"/>
    </row>
    <row r="56" spans="2:2">
      <c r="B56" s="19"/>
    </row>
    <row r="57" spans="2:2">
      <c r="B57" s="19"/>
    </row>
    <row r="58" spans="2:2">
      <c r="B58" s="19"/>
    </row>
    <row r="59" spans="2:2">
      <c r="B59" s="19"/>
    </row>
    <row r="60" spans="2:2">
      <c r="B60" s="19"/>
    </row>
    <row r="61" spans="2:2">
      <c r="B61" s="19"/>
    </row>
    <row r="62" spans="2:2">
      <c r="B62" s="19"/>
    </row>
    <row r="63" spans="2:2">
      <c r="B63" s="19"/>
    </row>
    <row r="64" spans="2:2">
      <c r="B64" s="19"/>
    </row>
    <row r="65" spans="2:2">
      <c r="B65" s="19"/>
    </row>
    <row r="66" spans="2:2">
      <c r="B66" s="19"/>
    </row>
    <row r="67" spans="2:2">
      <c r="B67" s="19"/>
    </row>
    <row r="68" spans="2:2">
      <c r="B68" s="19"/>
    </row>
    <row r="69" spans="2:2">
      <c r="B69" s="19"/>
    </row>
    <row r="70" spans="2:2">
      <c r="B70" s="19"/>
    </row>
    <row r="71" spans="2:2">
      <c r="B71" s="19"/>
    </row>
    <row r="72" spans="2:2">
      <c r="B72" s="19"/>
    </row>
    <row r="73" spans="2:2">
      <c r="B73" s="19"/>
    </row>
    <row r="74" spans="2:2">
      <c r="B74" s="19"/>
    </row>
    <row r="75" spans="2:2">
      <c r="B75" s="19"/>
    </row>
    <row r="76" spans="2:2">
      <c r="B76" s="19"/>
    </row>
    <row r="77" spans="2:2">
      <c r="B77" s="19"/>
    </row>
    <row r="78" spans="2:2">
      <c r="B78" s="19"/>
    </row>
    <row r="79" spans="2:2">
      <c r="B79" s="19"/>
    </row>
    <row r="80" spans="2:2">
      <c r="B80" s="19"/>
    </row>
    <row r="81" spans="2:2">
      <c r="B81" s="19"/>
    </row>
    <row r="82" spans="2:2">
      <c r="B82" s="19"/>
    </row>
    <row r="83" spans="2:2">
      <c r="B83" s="19"/>
    </row>
    <row r="84" spans="2:2">
      <c r="B84" s="19"/>
    </row>
    <row r="85" spans="2:2">
      <c r="B85" s="19"/>
    </row>
    <row r="86" spans="2:2">
      <c r="B86" s="19"/>
    </row>
    <row r="87" spans="2:2">
      <c r="B87" s="19"/>
    </row>
    <row r="88" spans="2:2">
      <c r="B88" s="19"/>
    </row>
    <row r="89" spans="2:2">
      <c r="B89" s="19"/>
    </row>
    <row r="90" spans="2:2">
      <c r="B90" s="19"/>
    </row>
    <row r="91" spans="2:2">
      <c r="B91" s="19"/>
    </row>
    <row r="92" spans="2:2">
      <c r="B92" s="19"/>
    </row>
    <row r="93" spans="2:2">
      <c r="B93" s="19"/>
    </row>
    <row r="94" spans="2:2">
      <c r="B94" s="19"/>
    </row>
  </sheetData>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Main">
                <anchor moveWithCells="1" sizeWithCells="1">
                  <from>
                    <xdr:col>4</xdr:col>
                    <xdr:colOff>63500</xdr:colOff>
                    <xdr:row>3</xdr:row>
                    <xdr:rowOff>127000</xdr:rowOff>
                  </from>
                  <to>
                    <xdr:col>7</xdr:col>
                    <xdr:colOff>63500</xdr:colOff>
                    <xdr:row>5</xdr:row>
                    <xdr:rowOff>165100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99</vt:i4>
      </vt:variant>
    </vt:vector>
  </HeadingPairs>
  <TitlesOfParts>
    <vt:vector size="102" baseType="lpstr">
      <vt:lpstr>Explanation</vt:lpstr>
      <vt:lpstr>Report_1</vt:lpstr>
      <vt:lpstr>Report_2</vt:lpstr>
      <vt:lpstr>Report_1!ArriveRate</vt:lpstr>
      <vt:lpstr>Report_2!ArriveRate</vt:lpstr>
      <vt:lpstr>ArriveRate</vt:lpstr>
      <vt:lpstr>Report_1!AvgDelay</vt:lpstr>
      <vt:lpstr>Report_2!AvgDelay</vt:lpstr>
      <vt:lpstr>AvgDelay</vt:lpstr>
      <vt:lpstr>Report_1!AvgNumInQ</vt:lpstr>
      <vt:lpstr>Report_2!AvgNumInQ</vt:lpstr>
      <vt:lpstr>AvgNumInQ</vt:lpstr>
      <vt:lpstr>Report_1!AvgNumInSys</vt:lpstr>
      <vt:lpstr>Report_2!AvgNumInSys</vt:lpstr>
      <vt:lpstr>AvgNumInSys</vt:lpstr>
      <vt:lpstr>Report_1!AvgSysTime</vt:lpstr>
      <vt:lpstr>Report_2!AvgSysTime</vt:lpstr>
      <vt:lpstr>AvgSysTime</vt:lpstr>
      <vt:lpstr>Report_1!Dist</vt:lpstr>
      <vt:lpstr>Report_2!Dist</vt:lpstr>
      <vt:lpstr>Dist</vt:lpstr>
      <vt:lpstr>Report_1!FractLost</vt:lpstr>
      <vt:lpstr>Report_2!FractLost</vt:lpstr>
      <vt:lpstr>FractLost</vt:lpstr>
      <vt:lpstr>Report_1!Inputs</vt:lpstr>
      <vt:lpstr>Report_2!Inputs</vt:lpstr>
      <vt:lpstr>Inputs</vt:lpstr>
      <vt:lpstr>Report_1!MaxDelay</vt:lpstr>
      <vt:lpstr>Report_2!MaxDelay</vt:lpstr>
      <vt:lpstr>MaxDelay</vt:lpstr>
      <vt:lpstr>Report_1!MaxInQ</vt:lpstr>
      <vt:lpstr>Report_2!MaxInQ</vt:lpstr>
      <vt:lpstr>MaxInQ</vt:lpstr>
      <vt:lpstr>Report_1!MaxInSys</vt:lpstr>
      <vt:lpstr>Report_2!MaxInSys</vt:lpstr>
      <vt:lpstr>MaxInSys</vt:lpstr>
      <vt:lpstr>Report_1!MaxQ</vt:lpstr>
      <vt:lpstr>Report_2!MaxQ</vt:lpstr>
      <vt:lpstr>MaxQ</vt:lpstr>
      <vt:lpstr>Report_1!MaxSysTime</vt:lpstr>
      <vt:lpstr>Report_2!MaxSysTime</vt:lpstr>
      <vt:lpstr>MaxSysTime</vt:lpstr>
      <vt:lpstr>Report_1!MeanIATime</vt:lpstr>
      <vt:lpstr>Report_2!MeanIATime</vt:lpstr>
      <vt:lpstr>MeanIATime</vt:lpstr>
      <vt:lpstr>Report_1!MeanServeTime</vt:lpstr>
      <vt:lpstr>Report_2!MeanServeTime</vt:lpstr>
      <vt:lpstr>MeanServeTime</vt:lpstr>
      <vt:lpstr>Report_1!NCusts</vt:lpstr>
      <vt:lpstr>Report_2!NCusts</vt:lpstr>
      <vt:lpstr>NCusts</vt:lpstr>
      <vt:lpstr>Report_1!NLost</vt:lpstr>
      <vt:lpstr>Report_2!NLost</vt:lpstr>
      <vt:lpstr>NLost</vt:lpstr>
      <vt:lpstr>Report_1!NServers</vt:lpstr>
      <vt:lpstr>Report_2!NServers</vt:lpstr>
      <vt:lpstr>NServers</vt:lpstr>
      <vt:lpstr>Report_1!NumCusts</vt:lpstr>
      <vt:lpstr>Report_2!NumCusts</vt:lpstr>
      <vt:lpstr>NumCusts</vt:lpstr>
      <vt:lpstr>Report_1!NumInQ</vt:lpstr>
      <vt:lpstr>Report_2!NumInQ</vt:lpstr>
      <vt:lpstr>NumInQ</vt:lpstr>
      <vt:lpstr>Report_1!NumInQ1</vt:lpstr>
      <vt:lpstr>Report_2!NumInQ1</vt:lpstr>
      <vt:lpstr>NumInQ1</vt:lpstr>
      <vt:lpstr>Report_1!NumLost</vt:lpstr>
      <vt:lpstr>Report_2!NumLost</vt:lpstr>
      <vt:lpstr>NumLost</vt:lpstr>
      <vt:lpstr>Report_1!Outputs</vt:lpstr>
      <vt:lpstr>Report_2!Outputs</vt:lpstr>
      <vt:lpstr>Outputs</vt:lpstr>
      <vt:lpstr>Report_1!RanSeed</vt:lpstr>
      <vt:lpstr>Report_2!RanSeed</vt:lpstr>
      <vt:lpstr>RanSeed</vt:lpstr>
      <vt:lpstr>Report_1!RunTime</vt:lpstr>
      <vt:lpstr>Report_2!RunTime</vt:lpstr>
      <vt:lpstr>RunTime</vt:lpstr>
      <vt:lpstr>Report_1!ServeRate</vt:lpstr>
      <vt:lpstr>Report_2!ServeRate</vt:lpstr>
      <vt:lpstr>ServeRate</vt:lpstr>
      <vt:lpstr>Report_1!SSAvgDelay</vt:lpstr>
      <vt:lpstr>Report_2!SSAvgDelay</vt:lpstr>
      <vt:lpstr>SSAvgDelay</vt:lpstr>
      <vt:lpstr>Report_1!SSNumInQ</vt:lpstr>
      <vt:lpstr>Report_2!SSNumInQ</vt:lpstr>
      <vt:lpstr>SSNumInQ</vt:lpstr>
      <vt:lpstr>Report_1!StdevServeTime</vt:lpstr>
      <vt:lpstr>Report_2!StdevServeTime</vt:lpstr>
      <vt:lpstr>StdevServeTime</vt:lpstr>
      <vt:lpstr>Report_1!TimeInQ</vt:lpstr>
      <vt:lpstr>Report_2!TimeInQ</vt:lpstr>
      <vt:lpstr>TimeInQ</vt:lpstr>
      <vt:lpstr>Report_1!TimeUnit</vt:lpstr>
      <vt:lpstr>Report_2!TimeUnit</vt:lpstr>
      <vt:lpstr>TimeUnit</vt:lpstr>
      <vt:lpstr>Report_1!Util</vt:lpstr>
      <vt:lpstr>Report_2!Util</vt:lpstr>
      <vt:lpstr>Util</vt:lpstr>
      <vt:lpstr>Report_1!WarmupTime</vt:lpstr>
      <vt:lpstr>Report_2!WarmupTime</vt:lpstr>
      <vt:lpstr>WarmupTime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IU School of Business</dc:creator>
  <cp:lastModifiedBy>Microsoft Office User</cp:lastModifiedBy>
  <cp:lastPrinted>2010-08-02T22:01:28Z</cp:lastPrinted>
  <dcterms:created xsi:type="dcterms:W3CDTF">1999-01-20T18:40:59Z</dcterms:created>
  <dcterms:modified xsi:type="dcterms:W3CDTF">2020-07-18T17:47:45Z</dcterms:modified>
</cp:coreProperties>
</file>